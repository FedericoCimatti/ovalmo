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'Partite'!$A$2:$K$62</definedName>
    <definedName name="_xlnm._FilterDatabase" localSheetId="2" hidden="1">'Pronostici'!$A$2:$D$62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'Classifica'!$A$33:$A$38</f>
            </numRef>
          </cat>
          <val>
            <numRef>
              <f>'Classifica'!$R$33:$R$38</f>
            </numRef>
          </val>
          <smooth val="0"/>
        </ser>
        <ser>
          <idx val="1"/>
          <order val="1"/>
          <tx>
            <strRef>
              <f>'Classifica'!S32</f>
            </strRef>
          </tx>
          <spPr>
            <a:ln w="22000">
              <a:solidFill>
                <a:srgbClr val="3E8E5A"/>
              </a:solidFill>
              <a:prstDash val="solid"/>
            </a:ln>
          </spPr>
          <marker>
            <symbol val="circle"/>
            <size val="6"/>
            <spPr>
              <a:ln>
                <a:prstDash val="solid"/>
              </a:ln>
            </spPr>
          </marker>
          <cat>
            <numRef>
              <f>'Classifica'!$A$33:$A$38</f>
            </numRef>
          </cat>
          <val>
            <numRef>
              <f>'Classifica'!$S$33:$S$38</f>
            </numRef>
          </val>
          <smooth val="0"/>
        </ser>
        <ser>
          <idx val="2"/>
          <order val="2"/>
          <tx>
            <strRef>
              <f>'Classifica'!T32</f>
            </strRef>
          </tx>
          <spPr>
            <a:ln w="22000">
              <a:solidFill>
                <a:srgbClr val="C2622F"/>
              </a:solidFill>
              <a:prstDash val="solid"/>
            </a:ln>
          </spPr>
          <marker>
            <symbol val="circle"/>
            <size val="6"/>
            <spPr>
              <a:ln>
                <a:prstDash val="solid"/>
              </a:ln>
            </spPr>
          </marker>
          <cat>
            <numRef>
              <f>'Classifica'!$A$33:$A$38</f>
            </numRef>
          </cat>
          <val>
            <numRef>
              <f>'Classifica'!$T$33:$T$38</f>
            </numRef>
          </val>
          <smooth val="0"/>
        </ser>
        <ser>
          <idx val="3"/>
          <order val="3"/>
          <tx>
            <strRef>
              <f>'Classifica'!U32</f>
            </strRef>
          </tx>
          <spPr>
            <a:ln w="22000">
              <a:solidFill>
                <a:srgbClr val="6A56A8"/>
              </a:solidFill>
              <a:prstDash val="solid"/>
            </a:ln>
          </spPr>
          <marker>
            <symbol val="circle"/>
            <size val="6"/>
            <spPr>
              <a:ln>
                <a:prstDash val="solid"/>
              </a:ln>
            </spPr>
          </marker>
          <cat>
            <numRef>
              <f>'Classifica'!$A$33:$A$38</f>
            </numRef>
          </cat>
          <val>
            <numRef>
              <f>'Classifica'!$U$33:$U$38</f>
            </numRef>
          </val>
          <smooth val="0"/>
        </ser>
        <ser>
          <idx val="4"/>
          <order val="4"/>
          <tx>
            <strRef>
              <f>'Classifica'!V32</f>
            </strRef>
          </tx>
          <spPr>
            <a:ln w="22000">
              <a:solidFill>
                <a:srgbClr val="B08A1E"/>
              </a:solidFill>
              <a:prstDash val="solid"/>
            </a:ln>
          </spPr>
          <marker>
            <symbol val="circle"/>
            <size val="6"/>
            <spPr>
              <a:ln>
                <a:prstDash val="solid"/>
              </a:ln>
            </spPr>
          </marker>
          <cat>
            <numRef>
              <f>'Classifica'!$A$33:$A$38</f>
            </numRef>
          </cat>
          <val>
            <numRef>
              <f>'Classifica'!$V$33:$V$38</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40</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38"/>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COUNTIF($B$33:$B$38,"Completata")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COUNTIF($B$33:$B$38,"Completata")+COUNTIF($B$33:$B$38,"In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IF($L$5=0,"-",SUMPRODUCT(MAX(($B$33:$B$38="Completata")*$A$33:$A$38)))</f>
        <v/>
      </c>
    </row>
    <row r="8">
      <c r="K8" s="12" t="inlineStr">
        <is>
          <t>Prossima da giocare</t>
        </is>
      </c>
      <c r="L8" s="13">
        <f>IF(SUMPRODUCT(MIN(($B$33:$B$38&lt;&gt;"Completata")*$A$33:$A$38+($B$33:$B$38="Completata")*999))&gt;=999,"-",SUMPRODUCT(MIN(($B$33:$B$38&lt;&gt;"Completata")*$A$33:$A$38+($B$33:$B$38="Completata")*999)))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SUM(Punti!$D$3:$D$62)</f>
        <v/>
      </c>
      <c r="D12" s="25">
        <f>COUNTIF(Punti!$D$3:$D$62,Config!$D$7)+COUNTIF(Punti!$D$3:$D$62,Config!$D$6)</f>
        <v/>
      </c>
      <c r="E12" s="25">
        <f>COUNTIF(Punti!$D$3:$D$62,Config!$D$6)</f>
        <v/>
      </c>
      <c r="F12" s="25">
        <f>SUMPRODUCT(((Pronostici!$E$3:$E$62&lt;&gt;"")+(Pronostici!$F$3:$F$62&lt;&gt;""))*1&gt;0)</f>
        <v/>
      </c>
      <c r="G12" s="26">
        <f>IF($L$6=0,0,$C12/$L$6)</f>
        <v/>
      </c>
      <c r="H12" s="25">
        <f>SUMPRODUCT(($C$33:$C$38=$H$33:$H$38)*($H$33:$H$38&gt;0)*($B$33:$B$38="Completata"))</f>
        <v/>
      </c>
    </row>
    <row r="13" ht="20" customHeight="1">
      <c r="A13" s="27">
        <f>SUMPRODUCT((($C$12:$C$16*1000+$E$12:$E$16)&gt;($C13*1000+$E13))*1)+1</f>
        <v/>
      </c>
      <c r="B13" s="28">
        <f>Config!$A$7</f>
        <v/>
      </c>
      <c r="C13" s="29">
        <f>SUM(Punti!$E$3:$E$62)</f>
        <v/>
      </c>
      <c r="D13" s="30">
        <f>COUNTIF(Punti!$E$3:$E$62,Config!$D$7)+COUNTIF(Punti!$E$3:$E$62,Config!$D$6)</f>
        <v/>
      </c>
      <c r="E13" s="30">
        <f>COUNTIF(Punti!$E$3:$E$62,Config!$D$6)</f>
        <v/>
      </c>
      <c r="F13" s="30">
        <f>SUMPRODUCT(((Pronostici!$H$3:$H$62&lt;&gt;"")+(Pronostici!$I$3:$I$62&lt;&gt;""))*1&gt;0)</f>
        <v/>
      </c>
      <c r="G13" s="31">
        <f>IF($L$6=0,0,$C13/$L$6)</f>
        <v/>
      </c>
      <c r="H13" s="30">
        <f>SUMPRODUCT(($D$33:$D$38=$H$33:$H$38)*($H$33:$H$38&gt;0)*($B$33:$B$38="Completata"))</f>
        <v/>
      </c>
    </row>
    <row r="14" ht="20" customHeight="1">
      <c r="A14" s="22">
        <f>SUMPRODUCT((($C$12:$C$16*1000+$E$12:$E$16)&gt;($C14*1000+$E14))*1)+1</f>
        <v/>
      </c>
      <c r="B14" s="32">
        <f>Config!$A$8</f>
        <v/>
      </c>
      <c r="C14" s="24">
        <f>SUM(Punti!$F$3:$F$62)</f>
        <v/>
      </c>
      <c r="D14" s="25">
        <f>COUNTIF(Punti!$F$3:$F$62,Config!$D$7)+COUNTIF(Punti!$F$3:$F$62,Config!$D$6)</f>
        <v/>
      </c>
      <c r="E14" s="25">
        <f>COUNTIF(Punti!$F$3:$F$62,Config!$D$6)</f>
        <v/>
      </c>
      <c r="F14" s="25">
        <f>SUMPRODUCT(((Pronostici!$K$3:$K$62&lt;&gt;"")+(Pronostici!$L$3:$L$62&lt;&gt;""))*1&gt;0)</f>
        <v/>
      </c>
      <c r="G14" s="26">
        <f>IF($L$6=0,0,$C14/$L$6)</f>
        <v/>
      </c>
      <c r="H14" s="25">
        <f>SUMPRODUCT(($E$33:$E$38=$H$33:$H$38)*($H$33:$H$38&gt;0)*($B$33:$B$38="Completata"))</f>
        <v/>
      </c>
    </row>
    <row r="15" ht="20" customHeight="1">
      <c r="A15" s="27">
        <f>SUMPRODUCT((($C$12:$C$16*1000+$E$12:$E$16)&gt;($C15*1000+$E15))*1)+1</f>
        <v/>
      </c>
      <c r="B15" s="33">
        <f>Config!$A$9</f>
        <v/>
      </c>
      <c r="C15" s="29">
        <f>SUM(Punti!$G$3:$G$62)</f>
        <v/>
      </c>
      <c r="D15" s="30">
        <f>COUNTIF(Punti!$G$3:$G$62,Config!$D$7)+COUNTIF(Punti!$G$3:$G$62,Config!$D$6)</f>
        <v/>
      </c>
      <c r="E15" s="30">
        <f>COUNTIF(Punti!$G$3:$G$62,Config!$D$6)</f>
        <v/>
      </c>
      <c r="F15" s="30">
        <f>SUMPRODUCT(((Pronostici!$N$3:$N$62&lt;&gt;"")+(Pronostici!$O$3:$O$62&lt;&gt;""))*1&gt;0)</f>
        <v/>
      </c>
      <c r="G15" s="31">
        <f>IF($L$6=0,0,$C15/$L$6)</f>
        <v/>
      </c>
      <c r="H15" s="30">
        <f>SUMPRODUCT(($F$33:$F$38=$H$33:$H$38)*($H$33:$H$38&gt;0)*($B$33:$B$38="Completata"))</f>
        <v/>
      </c>
    </row>
    <row r="16" ht="20" customHeight="1">
      <c r="A16" s="22">
        <f>SUMPRODUCT((($C$12:$C$16*1000+$E$12:$E$16)&gt;($C16*1000+$E16))*1)+1</f>
        <v/>
      </c>
      <c r="B16" s="34">
        <f>Config!$A$10</f>
        <v/>
      </c>
      <c r="C16" s="24">
        <f>SUM(Punti!$H$3:$H$62)</f>
        <v/>
      </c>
      <c r="D16" s="25">
        <f>COUNTIF(Punti!$H$3:$H$62,Config!$D$7)+COUNTIF(Punti!$H$3:$H$62,Config!$D$6)</f>
        <v/>
      </c>
      <c r="E16" s="25">
        <f>COUNTIF(Punti!$H$3:$H$62,Config!$D$6)</f>
        <v/>
      </c>
      <c r="F16" s="25">
        <f>SUMPRODUCT(((Pronostici!$Q$3:$Q$62&lt;&gt;"")+(Pronostici!$R$3:$R$62&lt;&gt;""))*1&gt;0)</f>
        <v/>
      </c>
      <c r="G16" s="26">
        <f>IF($L$6=0,0,$C16/$L$6)</f>
        <v/>
      </c>
      <c r="H16" s="25">
        <f>SUMPRODUCT(($G$33:$G$38=$H$33:$H$38)*($H$33:$H$38&gt;0)*($B$33:$B$38="Completata"))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IF($L$7="-","-",IFERROR(INDEX($C$33:$C$38,MATCH($L$7,$A$33:$A$38,0)),"-"))</f>
        <v/>
      </c>
      <c r="D20" s="40">
        <f>IF($L$7="-","",IF(IFERROR(INDEX($C$33:$C$38,MATCH($L$7,$A$33:$A$38,0)),0)=IFERROR(INDEX($H$33:$H$38,MATCH($L$7,$A$33:$A$38,0)),-1),"RE DELLA GIORNATA",""))</f>
        <v/>
      </c>
      <c r="E20" s="41" t="n"/>
      <c r="K20" s="42">
        <f>IFERROR(INDEX(Partite!$E$3:$E$62,MATCH("G"&amp;TEXT($L$8,"00")&amp;"-"&amp;TEXT(1,"00"),Partite!$A$3:$A$62,0))&amp;"   -   "&amp;INDEX(Partite!$F$3:$F$62,MATCH("G"&amp;TEXT($L$8,"00")&amp;"-"&amp;TEXT(1,"00"),Partite!$A$3:$A$62,0)),"-")</f>
        <v/>
      </c>
      <c r="L20" s="43" t="n"/>
      <c r="M20" s="43" t="n"/>
      <c r="N20" s="44">
        <f>Config!$A$6</f>
        <v/>
      </c>
      <c r="O20" s="45">
        <f>IF($L$8="-","-",SUMPRODUCT((Pronostici!$B$3:$B$62=$L$8)*(((Pronostici!$E$3:$E$62&lt;&gt;"")+(Pronostici!$F$3:$F$62&lt;&gt;""))&gt;0))&amp;"/10")</f>
        <v/>
      </c>
    </row>
    <row r="21">
      <c r="B21" s="28">
        <f>Config!$A$7</f>
        <v/>
      </c>
      <c r="C21" s="24">
        <f>IF($L$7="-","-",IFERROR(INDEX($D$33:$D$38,MATCH($L$7,$A$33:$A$38,0)),"-"))</f>
        <v/>
      </c>
      <c r="D21" s="40">
        <f>IF($L$7="-","",IF(IFERROR(INDEX($D$33:$D$38,MATCH($L$7,$A$33:$A$38,0)),0)=IFERROR(INDEX($H$33:$H$38,MATCH($L$7,$A$33:$A$38,0)),-1),"RE DELLA GIORNATA",""))</f>
        <v/>
      </c>
      <c r="E21" s="41" t="n"/>
      <c r="K21" s="46">
        <f>IFERROR(INDEX(Partite!$E$3:$E$62,MATCH("G"&amp;TEXT($L$8,"00")&amp;"-"&amp;TEXT(2,"00"),Partite!$A$3:$A$62,0))&amp;"   -   "&amp;INDEX(Partite!$F$3:$F$62,MATCH("G"&amp;TEXT($L$8,"00")&amp;"-"&amp;TEXT(2,"00"),Partite!$A$3:$A$62,0)),"-")</f>
        <v/>
      </c>
      <c r="L21" s="47" t="n"/>
      <c r="M21" s="47" t="n"/>
      <c r="N21" s="48">
        <f>Config!$A$7</f>
        <v/>
      </c>
      <c r="O21" s="45">
        <f>IF($L$8="-","-",SUMPRODUCT((Pronostici!$B$3:$B$62=$L$8)*(((Pronostici!$H$3:$H$62&lt;&gt;"")+(Pronostici!$I$3:$I$62&lt;&gt;""))&gt;0))&amp;"/10")</f>
        <v/>
      </c>
    </row>
    <row r="22">
      <c r="B22" s="32">
        <f>Config!$A$8</f>
        <v/>
      </c>
      <c r="C22" s="24">
        <f>IF($L$7="-","-",IFERROR(INDEX($E$33:$E$38,MATCH($L$7,$A$33:$A$38,0)),"-"))</f>
        <v/>
      </c>
      <c r="D22" s="40">
        <f>IF($L$7="-","",IF(IFERROR(INDEX($E$33:$E$38,MATCH($L$7,$A$33:$A$38,0)),0)=IFERROR(INDEX($H$33:$H$38,MATCH($L$7,$A$33:$A$38,0)),-1),"RE DELLA GIORNATA",""))</f>
        <v/>
      </c>
      <c r="E22" s="41" t="n"/>
      <c r="K22" s="42">
        <f>IFERROR(INDEX(Partite!$E$3:$E$62,MATCH("G"&amp;TEXT($L$8,"00")&amp;"-"&amp;TEXT(3,"00"),Partite!$A$3:$A$62,0))&amp;"   -   "&amp;INDEX(Partite!$F$3:$F$62,MATCH("G"&amp;TEXT($L$8,"00")&amp;"-"&amp;TEXT(3,"00"),Partite!$A$3:$A$62,0)),"-")</f>
        <v/>
      </c>
      <c r="L22" s="43" t="n"/>
      <c r="M22" s="43" t="n"/>
      <c r="N22" s="49">
        <f>Config!$A$8</f>
        <v/>
      </c>
      <c r="O22" s="45">
        <f>IF($L$8="-","-",SUMPRODUCT((Pronostici!$B$3:$B$62=$L$8)*(((Pronostici!$K$3:$K$62&lt;&gt;"")+(Pronostici!$L$3:$L$62&lt;&gt;""))&gt;0))&amp;"/10")</f>
        <v/>
      </c>
    </row>
    <row r="23">
      <c r="B23" s="33">
        <f>Config!$A$9</f>
        <v/>
      </c>
      <c r="C23" s="24">
        <f>IF($L$7="-","-",IFERROR(INDEX($F$33:$F$38,MATCH($L$7,$A$33:$A$38,0)),"-"))</f>
        <v/>
      </c>
      <c r="D23" s="40">
        <f>IF($L$7="-","",IF(IFERROR(INDEX($F$33:$F$38,MATCH($L$7,$A$33:$A$38,0)),0)=IFERROR(INDEX($H$33:$H$38,MATCH($L$7,$A$33:$A$38,0)),-1),"RE DELLA GIORNATA",""))</f>
        <v/>
      </c>
      <c r="E23" s="41" t="n"/>
      <c r="K23" s="46">
        <f>IFERROR(INDEX(Partite!$E$3:$E$62,MATCH("G"&amp;TEXT($L$8,"00")&amp;"-"&amp;TEXT(4,"00"),Partite!$A$3:$A$62,0))&amp;"   -   "&amp;INDEX(Partite!$F$3:$F$62,MATCH("G"&amp;TEXT($L$8,"00")&amp;"-"&amp;TEXT(4,"00"),Partite!$A$3:$A$62,0)),"-")</f>
        <v/>
      </c>
      <c r="L23" s="47" t="n"/>
      <c r="M23" s="47" t="n"/>
      <c r="N23" s="50">
        <f>Config!$A$9</f>
        <v/>
      </c>
      <c r="O23" s="45">
        <f>IF($L$8="-","-",SUMPRODUCT((Pronostici!$B$3:$B$62=$L$8)*(((Pronostici!$N$3:$N$62&lt;&gt;"")+(Pronostici!$O$3:$O$62&lt;&gt;""))&gt;0))&amp;"/10")</f>
        <v/>
      </c>
    </row>
    <row r="24">
      <c r="B24" s="34">
        <f>Config!$A$10</f>
        <v/>
      </c>
      <c r="C24" s="24">
        <f>IF($L$7="-","-",IFERROR(INDEX($G$33:$G$38,MATCH($L$7,$A$33:$A$38,0)),"-"))</f>
        <v/>
      </c>
      <c r="D24" s="40">
        <f>IF($L$7="-","",IF(IFERROR(INDEX($G$33:$G$38,MATCH($L$7,$A$33:$A$38,0)),0)=IFERROR(INDEX($H$33:$H$38,MATCH($L$7,$A$33:$A$38,0)),-1),"RE DELLA GIORNATA",""))</f>
        <v/>
      </c>
      <c r="E24" s="41" t="n"/>
      <c r="K24" s="42">
        <f>IFERROR(INDEX(Partite!$E$3:$E$62,MATCH("G"&amp;TEXT($L$8,"00")&amp;"-"&amp;TEXT(5,"00"),Partite!$A$3:$A$62,0))&amp;"   -   "&amp;INDEX(Partite!$F$3:$F$62,MATCH("G"&amp;TEXT($L$8,"00")&amp;"-"&amp;TEXT(5,"00"),Partite!$A$3:$A$62,0)),"-")</f>
        <v/>
      </c>
      <c r="L24" s="43" t="n"/>
      <c r="M24" s="43" t="n"/>
      <c r="N24" s="51">
        <f>Config!$A$10</f>
        <v/>
      </c>
      <c r="O24" s="45">
        <f>IF($L$8="-","-",SUMPRODUCT((Pronostici!$B$3:$B$62=$L$8)*(((Pronostici!$Q$3:$Q$62&lt;&gt;"")+(Pronostici!$R$3:$R$62&lt;&gt;""))&gt;0))&amp;"/10")</f>
        <v/>
      </c>
    </row>
    <row r="25">
      <c r="K25" s="46">
        <f>IFERROR(INDEX(Partite!$E$3:$E$62,MATCH("G"&amp;TEXT($L$8,"00")&amp;"-"&amp;TEXT(6,"00"),Partite!$A$3:$A$62,0))&amp;"   -   "&amp;INDEX(Partite!$F$3:$F$62,MATCH("G"&amp;TEXT($L$8,"00")&amp;"-"&amp;TEXT(6,"00"),Partite!$A$3:$A$62,0)),"-")</f>
        <v/>
      </c>
      <c r="L25" s="47" t="n"/>
      <c r="M25" s="47" t="n"/>
      <c r="N25" s="35" t="inlineStr">
        <is>
          <t>chi e' sotto 10 non ha finito</t>
        </is>
      </c>
    </row>
    <row r="26">
      <c r="K26" s="42">
        <f>IFERROR(INDEX(Partite!$E$3:$E$62,MATCH("G"&amp;TEXT($L$8,"00")&amp;"-"&amp;TEXT(7,"00"),Partite!$A$3:$A$62,0))&amp;"   -   "&amp;INDEX(Partite!$F$3:$F$62,MATCH("G"&amp;TEXT($L$8,"00")&amp;"-"&amp;TEXT(7,"00"),Partite!$A$3:$A$62,0)),"-")</f>
        <v/>
      </c>
      <c r="L26" s="43" t="n"/>
      <c r="M26" s="43" t="n"/>
    </row>
    <row r="27">
      <c r="K27" s="46">
        <f>IFERROR(INDEX(Partite!$E$3:$E$62,MATCH("G"&amp;TEXT($L$8,"00")&amp;"-"&amp;TEXT(8,"00"),Partite!$A$3:$A$62,0))&amp;"   -   "&amp;INDEX(Partite!$F$3:$F$62,MATCH("G"&amp;TEXT($L$8,"00")&amp;"-"&amp;TEXT(8,"00"),Partite!$A$3:$A$62,0)),"-")</f>
        <v/>
      </c>
      <c r="L27" s="47" t="n"/>
      <c r="M27" s="47" t="n"/>
    </row>
    <row r="28">
      <c r="K28" s="42">
        <f>IFERROR(INDEX(Partite!$E$3:$E$62,MATCH("G"&amp;TEXT($L$8,"00")&amp;"-"&amp;TEXT(9,"00"),Partite!$A$3:$A$62,0))&amp;"   -   "&amp;INDEX(Partite!$F$3:$F$62,MATCH("G"&amp;TEXT($L$8,"00")&amp;"-"&amp;TEXT(9,"00"),Partite!$A$3:$A$62,0)),"-")</f>
        <v/>
      </c>
      <c r="L28" s="43" t="n"/>
      <c r="M28" s="43" t="n"/>
    </row>
    <row r="29">
      <c r="K29" s="46">
        <f>IFERROR(INDEX(Partite!$E$3:$E$62,MATCH("G"&amp;TEXT($L$8,"00")&amp;"-"&amp;TEXT(10,"00"),Partite!$A$3:$A$62,0))&amp;"   -   "&amp;INDEX(Partite!$F$3:$F$62,MATCH("G"&amp;TEXT($L$8,"00")&amp;"-"&amp;TEXT(10,"00"),Partite!$A$3:$A$62,0)),"-")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IF(COUNTIFS(Partite!$B$3:$B$62,$A33,Partite!$E$3:$E$62,"&lt;&gt;")=0,"Calendario mancante",IF(COUNTIFS(Partite!$B$3:$B$62,$A33,Partite!$K$3:$K$62,"Giocata")=0,"Non giocata",IF(COUNTIFS(Partite!$B$3:$B$62,$A33,Partite!$K$3:$K$62,"Giocata")=COUNTIFS(Partite!$B$3:$B$62,$A33,Partite!$E$3:$E$62,"&lt;&gt;"),"Completata","In corso")))</f>
        <v/>
      </c>
      <c r="C33" s="25">
        <f>SUMIF(Punti!$B$3:$B$62,$A33,Punti!$D$3:$D$62)</f>
        <v/>
      </c>
      <c r="D33" s="25">
        <f>SUMIF(Punti!$B$3:$B$62,$A33,Punti!$E$3:$E$62)</f>
        <v/>
      </c>
      <c r="E33" s="25">
        <f>SUMIF(Punti!$B$3:$B$62,$A33,Punti!$F$3:$F$62)</f>
        <v/>
      </c>
      <c r="F33" s="25">
        <f>SUMIF(Punti!$B$3:$B$62,$A33,Punti!$G$3:$G$62)</f>
        <v/>
      </c>
      <c r="G33" s="25">
        <f>SUMIF(Punti!$B$3:$B$62,$A33,Punti!$H$3:$H$62)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IF(COUNTIFS(Partite!$B$3:$B$62,$A34,Partite!$E$3:$E$62,"&lt;&gt;")=0,"Calendario mancante",IF(COUNTIFS(Partite!$B$3:$B$62,$A34,Partite!$K$3:$K$62,"Giocata")=0,"Non giocata",IF(COUNTIFS(Partite!$B$3:$B$62,$A34,Partite!$K$3:$K$62,"Giocata")=COUNTIFS(Partite!$B$3:$B$62,$A34,Partite!$E$3:$E$62,"&lt;&gt;"),"Completata","In corso")))</f>
        <v/>
      </c>
      <c r="C34" s="30">
        <f>SUMIF(Punti!$B$3:$B$62,$A34,Punti!$D$3:$D$62)</f>
        <v/>
      </c>
      <c r="D34" s="30">
        <f>SUMIF(Punti!$B$3:$B$62,$A34,Punti!$E$3:$E$62)</f>
        <v/>
      </c>
      <c r="E34" s="30">
        <f>SUMIF(Punti!$B$3:$B$62,$A34,Punti!$F$3:$F$62)</f>
        <v/>
      </c>
      <c r="F34" s="30">
        <f>SUMIF(Punti!$B$3:$B$62,$A34,Punti!$G$3:$G$62)</f>
        <v/>
      </c>
      <c r="G34" s="30">
        <f>SUMIF(Punti!$B$3:$B$62,$A34,Punti!$H$3:$H$62)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IF(COUNTIFS(Partite!$B$3:$B$62,$A35,Partite!$E$3:$E$62,"&lt;&gt;")=0,"Calendario mancante",IF(COUNTIFS(Partite!$B$3:$B$62,$A35,Partite!$K$3:$K$62,"Giocata")=0,"Non giocata",IF(COUNTIFS(Partite!$B$3:$B$62,$A35,Partite!$K$3:$K$62,"Giocata")=COUNTIFS(Partite!$B$3:$B$62,$A35,Partite!$E$3:$E$62,"&lt;&gt;"),"Completata","In corso")))</f>
        <v/>
      </c>
      <c r="C35" s="25">
        <f>SUMIF(Punti!$B$3:$B$62,$A35,Punti!$D$3:$D$62)</f>
        <v/>
      </c>
      <c r="D35" s="25">
        <f>SUMIF(Punti!$B$3:$B$62,$A35,Punti!$E$3:$E$62)</f>
        <v/>
      </c>
      <c r="E35" s="25">
        <f>SUMIF(Punti!$B$3:$B$62,$A35,Punti!$F$3:$F$62)</f>
        <v/>
      </c>
      <c r="F35" s="25">
        <f>SUMIF(Punti!$B$3:$B$62,$A35,Punti!$G$3:$G$62)</f>
        <v/>
      </c>
      <c r="G35" s="25">
        <f>SUMIF(Punti!$B$3:$B$62,$A35,Punti!$H$3:$H$62)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IF(COUNTIFS(Partite!$B$3:$B$62,$A36,Partite!$E$3:$E$62,"&lt;&gt;")=0,"Calendario mancante",IF(COUNTIFS(Partite!$B$3:$B$62,$A36,Partite!$K$3:$K$62,"Giocata")=0,"Non giocata",IF(COUNTIFS(Partite!$B$3:$B$62,$A36,Partite!$K$3:$K$62,"Giocata")=COUNTIFS(Partite!$B$3:$B$62,$A36,Partite!$E$3:$E$62,"&lt;&gt;"),"Completata","In corso")))</f>
        <v/>
      </c>
      <c r="C36" s="30">
        <f>SUMIF(Punti!$B$3:$B$62,$A36,Punti!$D$3:$D$62)</f>
        <v/>
      </c>
      <c r="D36" s="30">
        <f>SUMIF(Punti!$B$3:$B$62,$A36,Punti!$E$3:$E$62)</f>
        <v/>
      </c>
      <c r="E36" s="30">
        <f>SUMIF(Punti!$B$3:$B$62,$A36,Punti!$F$3:$F$62)</f>
        <v/>
      </c>
      <c r="F36" s="30">
        <f>SUMIF(Punti!$B$3:$B$62,$A36,Punti!$G$3:$G$62)</f>
        <v/>
      </c>
      <c r="G36" s="30">
        <f>SUMIF(Punti!$B$3:$B$62,$A36,Punti!$H$3:$H$62)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IF(COUNTIFS(Partite!$B$3:$B$62,$A37,Partite!$E$3:$E$62,"&lt;&gt;")=0,"Calendario mancante",IF(COUNTIFS(Partite!$B$3:$B$62,$A37,Partite!$K$3:$K$62,"Giocata")=0,"Non giocata",IF(COUNTIFS(Partite!$B$3:$B$62,$A37,Partite!$K$3:$K$62,"Giocata")=COUNTIFS(Partite!$B$3:$B$62,$A37,Partite!$E$3:$E$62,"&lt;&gt;"),"Completata","In corso")))</f>
        <v/>
      </c>
      <c r="C37" s="25">
        <f>SUMIF(Punti!$B$3:$B$62,$A37,Punti!$D$3:$D$62)</f>
        <v/>
      </c>
      <c r="D37" s="25">
        <f>SUMIF(Punti!$B$3:$B$62,$A37,Punti!$E$3:$E$62)</f>
        <v/>
      </c>
      <c r="E37" s="25">
        <f>SUMIF(Punti!$B$3:$B$62,$A37,Punti!$F$3:$F$62)</f>
        <v/>
      </c>
      <c r="F37" s="25">
        <f>SUMIF(Punti!$B$3:$B$62,$A37,Punti!$G$3:$G$62)</f>
        <v/>
      </c>
      <c r="G37" s="25">
        <f>SUMIF(Punti!$B$3:$B$62,$A37,Punti!$H$3:$H$62)</f>
        <v/>
      </c>
      <c r="H37" s="61">
        <f>MAX($C37:$G37)</f>
        <v/>
      </c>
      <c r="I37" s="62">
        <f>IF($H37&lt;=0,"-",INDEX($C$32:$G$32,MATCH($H37,$C37:$G37,0))&amp;IF(COUNTIF($C37:$G37,$H37)&gt;1," (a pari)","")&amp;IF($B37="Completata",""," - in corso"))</f>
        <v/>
      </c>
      <c r="R37" s="63">
        <f>R36+C37</f>
        <v/>
      </c>
      <c r="S37" s="63">
        <f>S36+D37</f>
        <v/>
      </c>
      <c r="T37" s="63">
        <f>T36+E37</f>
        <v/>
      </c>
      <c r="U37" s="63">
        <f>U36+F37</f>
        <v/>
      </c>
      <c r="V37" s="63">
        <f>V36+G37</f>
        <v/>
      </c>
    </row>
    <row r="38">
      <c r="A38" s="27" t="n">
        <v>7</v>
      </c>
      <c r="B38" s="47">
        <f>IF(COUNTIFS(Partite!$B$3:$B$62,$A38,Partite!$E$3:$E$62,"&lt;&gt;")=0,"Calendario mancante",IF(COUNTIFS(Partite!$B$3:$B$62,$A38,Partite!$K$3:$K$62,"Giocata")=0,"Non giocata",IF(COUNTIFS(Partite!$B$3:$B$62,$A38,Partite!$K$3:$K$62,"Giocata")=COUNTIFS(Partite!$B$3:$B$62,$A38,Partite!$E$3:$E$62,"&lt;&gt;"),"Completata","In corso")))</f>
        <v/>
      </c>
      <c r="C38" s="30">
        <f>SUMIF(Punti!$B$3:$B$62,$A38,Punti!$D$3:$D$62)</f>
        <v/>
      </c>
      <c r="D38" s="30">
        <f>SUMIF(Punti!$B$3:$B$62,$A38,Punti!$E$3:$E$62)</f>
        <v/>
      </c>
      <c r="E38" s="30">
        <f>SUMIF(Punti!$B$3:$B$62,$A38,Punti!$F$3:$F$62)</f>
        <v/>
      </c>
      <c r="F38" s="30">
        <f>SUMIF(Punti!$B$3:$B$62,$A38,Punti!$G$3:$G$62)</f>
        <v/>
      </c>
      <c r="G38" s="30">
        <f>SUMIF(Punti!$B$3:$B$62,$A38,Punti!$H$3:$H$62)</f>
        <v/>
      </c>
      <c r="H38" s="61">
        <f>MAX($C38:$G38)</f>
        <v/>
      </c>
      <c r="I38" s="64">
        <f>IF($H38&lt;=0,"-",INDEX($C$32:$G$32,MATCH($H38,$C38:$G38,0))&amp;IF(COUNTIF($C38:$G38,$H38)&gt;1," (a pari)","")&amp;IF($B38="Completata",""," - in corso"))</f>
        <v/>
      </c>
      <c r="R38" s="63">
        <f>R37+C38</f>
        <v/>
      </c>
      <c r="S38" s="63">
        <f>S37+D38</f>
        <v/>
      </c>
      <c r="T38" s="63">
        <f>T37+E38</f>
        <v/>
      </c>
      <c r="U38" s="63">
        <f>U37+F38</f>
        <v/>
      </c>
      <c r="V38" s="63">
        <f>V37+G38</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38">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6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v>2</v>
      </c>
      <c r="H41" s="71" t="n">
        <v>0</v>
      </c>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v>3</v>
      </c>
      <c r="H42" s="71" t="n">
        <v>0</v>
      </c>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c r="H43" s="71" t="n"/>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c r="H44" s="71" t="n"/>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c r="H45" s="71" t="n"/>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c r="H46" s="71" t="n"/>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c r="H47" s="71" t="n"/>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c r="H48" s="71" t="n"/>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c r="H49" s="71" t="n"/>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c r="H50" s="71" t="n"/>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c r="H51" s="71" t="n"/>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c r="H52" s="71" t="n"/>
      <c r="I52" s="72">
        <f>IF(OR($G52="",$H52=""),"",IF($G52&gt;$H52,"1",IF($G52=$H52,"X","2")))</f>
        <v/>
      </c>
      <c r="J52" s="25">
        <f>IF(OR($G52="",$H52=""),"",$G52&amp;"-"&amp;$H52)</f>
        <v/>
      </c>
      <c r="K52" s="73">
        <f>IF($E52="","Calendario da inserire",IF(OR($G52="",$H52=""),"Da giocare","Giocata"))</f>
        <v/>
      </c>
    </row>
    <row r="53">
      <c r="A53" s="74" t="inlineStr">
        <is>
          <t>G07-01</t>
        </is>
      </c>
      <c r="B53" s="30" t="n">
        <v>7</v>
      </c>
      <c r="C53" s="30" t="inlineStr">
        <is>
          <t>16/10/2026</t>
        </is>
      </c>
      <c r="D53" s="30" t="inlineStr">
        <is>
          <t>20:45</t>
        </is>
      </c>
      <c r="E53" s="75" t="inlineStr">
        <is>
          <t>Frosinone</t>
        </is>
      </c>
      <c r="F53" s="75" t="inlineStr">
        <is>
          <t>Sassuolo</t>
        </is>
      </c>
      <c r="G53" s="71" t="n"/>
      <c r="H53" s="71" t="n"/>
      <c r="I53" s="76">
        <f>IF(OR($G53="",$H53=""),"",IF($G53&gt;$H53,"1",IF($G53=$H53,"X","2")))</f>
        <v/>
      </c>
      <c r="J53" s="30">
        <f>IF(OR($G53="",$H53=""),"",$G53&amp;"-"&amp;$H53)</f>
        <v/>
      </c>
      <c r="K53" s="77">
        <f>IF($E53="","Calendario da inserire",IF(OR($G53="",$H53=""),"Da giocare","Giocata"))</f>
        <v/>
      </c>
    </row>
    <row r="54">
      <c r="A54" s="74" t="inlineStr">
        <is>
          <t>G07-02</t>
        </is>
      </c>
      <c r="B54" s="30" t="n">
        <v>7</v>
      </c>
      <c r="C54" s="30" t="inlineStr">
        <is>
          <t>17/10/2026</t>
        </is>
      </c>
      <c r="D54" s="30" t="inlineStr">
        <is>
          <t>15:00</t>
        </is>
      </c>
      <c r="E54" s="75" t="inlineStr">
        <is>
          <t>Venezia</t>
        </is>
      </c>
      <c r="F54" s="75" t="inlineStr">
        <is>
          <t>Napoli</t>
        </is>
      </c>
      <c r="G54" s="71" t="n"/>
      <c r="H54" s="71" t="n"/>
      <c r="I54" s="76">
        <f>IF(OR($G54="",$H54=""),"",IF($G54&gt;$H54,"1",IF($G54=$H54,"X","2")))</f>
        <v/>
      </c>
      <c r="J54" s="30">
        <f>IF(OR($G54="",$H54=""),"",$G54&amp;"-"&amp;$H54)</f>
        <v/>
      </c>
      <c r="K54" s="77">
        <f>IF($E54="","Calendario da inserire",IF(OR($G54="",$H54=""),"Da giocare","Giocata"))</f>
        <v/>
      </c>
    </row>
    <row r="55">
      <c r="A55" s="74" t="inlineStr">
        <is>
          <t>G07-03</t>
        </is>
      </c>
      <c r="B55" s="30" t="n">
        <v>7</v>
      </c>
      <c r="C55" s="30" t="inlineStr">
        <is>
          <t>17/10/2026</t>
        </is>
      </c>
      <c r="D55" s="30" t="inlineStr">
        <is>
          <t>18:00</t>
        </is>
      </c>
      <c r="E55" s="75" t="inlineStr">
        <is>
          <t>Bologna</t>
        </is>
      </c>
      <c r="F55" s="75" t="inlineStr">
        <is>
          <t>Inter</t>
        </is>
      </c>
      <c r="G55" s="71" t="n"/>
      <c r="H55" s="71" t="n"/>
      <c r="I55" s="76">
        <f>IF(OR($G55="",$H55=""),"",IF($G55&gt;$H55,"1",IF($G55=$H55,"X","2")))</f>
        <v/>
      </c>
      <c r="J55" s="30">
        <f>IF(OR($G55="",$H55=""),"",$G55&amp;"-"&amp;$H55)</f>
        <v/>
      </c>
      <c r="K55" s="77">
        <f>IF($E55="","Calendario da inserire",IF(OR($G55="",$H55=""),"Da giocare","Giocata"))</f>
        <v/>
      </c>
    </row>
    <row r="56">
      <c r="A56" s="74" t="inlineStr">
        <is>
          <t>G07-04</t>
        </is>
      </c>
      <c r="B56" s="30" t="n">
        <v>7</v>
      </c>
      <c r="C56" s="30" t="inlineStr">
        <is>
          <t>17/10/2026</t>
        </is>
      </c>
      <c r="D56" s="30" t="inlineStr">
        <is>
          <t>20:45</t>
        </is>
      </c>
      <c r="E56" s="75" t="inlineStr">
        <is>
          <t>Roma</t>
        </is>
      </c>
      <c r="F56" s="75" t="inlineStr">
        <is>
          <t>Genoa</t>
        </is>
      </c>
      <c r="G56" s="71" t="n"/>
      <c r="H56" s="71" t="n"/>
      <c r="I56" s="76">
        <f>IF(OR($G56="",$H56=""),"",IF($G56&gt;$H56,"1",IF($G56=$H56,"X","2")))</f>
        <v/>
      </c>
      <c r="J56" s="30">
        <f>IF(OR($G56="",$H56=""),"",$G56&amp;"-"&amp;$H56)</f>
        <v/>
      </c>
      <c r="K56" s="77">
        <f>IF($E56="","Calendario da inserire",IF(OR($G56="",$H56=""),"Da giocare","Giocata"))</f>
        <v/>
      </c>
    </row>
    <row r="57">
      <c r="A57" s="74" t="inlineStr">
        <is>
          <t>G07-05</t>
        </is>
      </c>
      <c r="B57" s="30" t="n">
        <v>7</v>
      </c>
      <c r="C57" s="30" t="inlineStr">
        <is>
          <t>18/10/2026</t>
        </is>
      </c>
      <c r="D57" s="30" t="inlineStr">
        <is>
          <t>12:30</t>
        </is>
      </c>
      <c r="E57" s="75" t="inlineStr">
        <is>
          <t>Udinese</t>
        </is>
      </c>
      <c r="F57" s="75" t="inlineStr">
        <is>
          <t>Lecce</t>
        </is>
      </c>
      <c r="G57" s="71" t="n"/>
      <c r="H57" s="71" t="n"/>
      <c r="I57" s="76">
        <f>IF(OR($G57="",$H57=""),"",IF($G57&gt;$H57,"1",IF($G57=$H57,"X","2")))</f>
        <v/>
      </c>
      <c r="J57" s="30">
        <f>IF(OR($G57="",$H57=""),"",$G57&amp;"-"&amp;$H57)</f>
        <v/>
      </c>
      <c r="K57" s="77">
        <f>IF($E57="","Calendario da inserire",IF(OR($G57="",$H57=""),"Da giocare","Giocata"))</f>
        <v/>
      </c>
    </row>
    <row r="58">
      <c r="A58" s="74" t="inlineStr">
        <is>
          <t>G07-06</t>
        </is>
      </c>
      <c r="B58" s="30" t="n">
        <v>7</v>
      </c>
      <c r="C58" s="30" t="inlineStr">
        <is>
          <t>18/10/2026</t>
        </is>
      </c>
      <c r="D58" s="30" t="inlineStr">
        <is>
          <t>15:00</t>
        </is>
      </c>
      <c r="E58" s="75" t="inlineStr">
        <is>
          <t>Fiorentina</t>
        </is>
      </c>
      <c r="F58" s="75" t="inlineStr">
        <is>
          <t>Como</t>
        </is>
      </c>
      <c r="G58" s="71" t="n"/>
      <c r="H58" s="71" t="n"/>
      <c r="I58" s="76">
        <f>IF(OR($G58="",$H58=""),"",IF($G58&gt;$H58,"1",IF($G58=$H58,"X","2")))</f>
        <v/>
      </c>
      <c r="J58" s="30">
        <f>IF(OR($G58="",$H58=""),"",$G58&amp;"-"&amp;$H58)</f>
        <v/>
      </c>
      <c r="K58" s="77">
        <f>IF($E58="","Calendario da inserire",IF(OR($G58="",$H58=""),"Da giocare","Giocata"))</f>
        <v/>
      </c>
    </row>
    <row r="59">
      <c r="A59" s="74" t="inlineStr">
        <is>
          <t>G07-07</t>
        </is>
      </c>
      <c r="B59" s="30" t="n">
        <v>7</v>
      </c>
      <c r="C59" s="30" t="inlineStr">
        <is>
          <t>18/10/2026</t>
        </is>
      </c>
      <c r="D59" s="30" t="inlineStr">
        <is>
          <t>18:00</t>
        </is>
      </c>
      <c r="E59" s="75" t="inlineStr">
        <is>
          <t>Milan</t>
        </is>
      </c>
      <c r="F59" s="75" t="inlineStr">
        <is>
          <t>Atalanta</t>
        </is>
      </c>
      <c r="G59" s="71" t="n"/>
      <c r="H59" s="71" t="n"/>
      <c r="I59" s="76">
        <f>IF(OR($G59="",$H59=""),"",IF($G59&gt;$H59,"1",IF($G59=$H59,"X","2")))</f>
        <v/>
      </c>
      <c r="J59" s="30">
        <f>IF(OR($G59="",$H59=""),"",$G59&amp;"-"&amp;$H59)</f>
        <v/>
      </c>
      <c r="K59" s="77">
        <f>IF($E59="","Calendario da inserire",IF(OR($G59="",$H59=""),"Da giocare","Giocata"))</f>
        <v/>
      </c>
    </row>
    <row r="60">
      <c r="A60" s="74" t="inlineStr">
        <is>
          <t>G07-08</t>
        </is>
      </c>
      <c r="B60" s="30" t="n">
        <v>7</v>
      </c>
      <c r="C60" s="30" t="inlineStr">
        <is>
          <t>18/10/2026</t>
        </is>
      </c>
      <c r="D60" s="30" t="inlineStr">
        <is>
          <t>20:45</t>
        </is>
      </c>
      <c r="E60" s="75" t="inlineStr">
        <is>
          <t>Juventus</t>
        </is>
      </c>
      <c r="F60" s="75" t="inlineStr">
        <is>
          <t>Lazio</t>
        </is>
      </c>
      <c r="G60" s="71" t="n"/>
      <c r="H60" s="71" t="n"/>
      <c r="I60" s="76">
        <f>IF(OR($G60="",$H60=""),"",IF($G60&gt;$H60,"1",IF($G60=$H60,"X","2")))</f>
        <v/>
      </c>
      <c r="J60" s="30">
        <f>IF(OR($G60="",$H60=""),"",$G60&amp;"-"&amp;$H60)</f>
        <v/>
      </c>
      <c r="K60" s="77">
        <f>IF($E60="","Calendario da inserire",IF(OR($G60="",$H60=""),"Da giocare","Giocata"))</f>
        <v/>
      </c>
    </row>
    <row r="61">
      <c r="A61" s="74" t="inlineStr">
        <is>
          <t>G07-09</t>
        </is>
      </c>
      <c r="B61" s="30" t="n">
        <v>7</v>
      </c>
      <c r="C61" s="30" t="inlineStr">
        <is>
          <t>19/10/2026</t>
        </is>
      </c>
      <c r="D61" s="30" t="inlineStr">
        <is>
          <t>18:30</t>
        </is>
      </c>
      <c r="E61" s="75" t="inlineStr">
        <is>
          <t>Monza</t>
        </is>
      </c>
      <c r="F61" s="75" t="inlineStr">
        <is>
          <t>Cagliari</t>
        </is>
      </c>
      <c r="G61" s="71" t="n"/>
      <c r="H61" s="71" t="n"/>
      <c r="I61" s="76">
        <f>IF(OR($G61="",$H61=""),"",IF($G61&gt;$H61,"1",IF($G61=$H61,"X","2")))</f>
        <v/>
      </c>
      <c r="J61" s="30">
        <f>IF(OR($G61="",$H61=""),"",$G61&amp;"-"&amp;$H61)</f>
        <v/>
      </c>
      <c r="K61" s="77">
        <f>IF($E61="","Calendario da inserire",IF(OR($G61="",$H61=""),"Da giocare","Giocata"))</f>
        <v/>
      </c>
    </row>
    <row r="62">
      <c r="A62" s="74" t="inlineStr">
        <is>
          <t>G07-10</t>
        </is>
      </c>
      <c r="B62" s="30" t="n">
        <v>7</v>
      </c>
      <c r="C62" s="30" t="inlineStr">
        <is>
          <t>19/10/2026</t>
        </is>
      </c>
      <c r="D62" s="30" t="inlineStr">
        <is>
          <t>20:45</t>
        </is>
      </c>
      <c r="E62" s="75" t="inlineStr">
        <is>
          <t>Parma</t>
        </is>
      </c>
      <c r="F62" s="75" t="inlineStr">
        <is>
          <t>Torino</t>
        </is>
      </c>
      <c r="G62" s="71" t="n"/>
      <c r="H62" s="71" t="n"/>
      <c r="I62" s="76">
        <f>IF(OR($G62="",$H62=""),"",IF($G62&gt;$H62,"1",IF($G62=$H62,"X","2")))</f>
        <v/>
      </c>
      <c r="J62" s="30">
        <f>IF(OR($G62="",$H62=""),"",$G62&amp;"-"&amp;$H62)</f>
        <v/>
      </c>
      <c r="K62" s="77">
        <f>IF($E62="","Calendario da inserire",IF(OR($G62="",$H62=""),"Da giocare","Giocata"))</f>
        <v/>
      </c>
    </row>
  </sheetData>
  <autoFilter ref="A2:K62"/>
  <mergeCells count="3">
    <mergeCell ref="G1:H1"/>
    <mergeCell ref="A1:F1"/>
    <mergeCell ref="I1:K1"/>
  </mergeCells>
  <conditionalFormatting sqref="K3:K6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6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n"/>
      <c r="F43" s="71" t="n"/>
      <c r="G43" s="71" t="n"/>
      <c r="H43" s="71" t="n"/>
      <c r="I43" s="71" t="n"/>
      <c r="J43" s="71" t="n"/>
      <c r="K43" s="71" t="n"/>
      <c r="L43" s="71" t="n"/>
      <c r="M43" s="71" t="n"/>
      <c r="N43" s="71" t="n"/>
      <c r="O43" s="71" t="n"/>
      <c r="P43" s="71" t="n"/>
      <c r="Q43" s="71" t="n"/>
      <c r="R43" s="71" t="n"/>
      <c r="S43" s="71" t="n"/>
    </row>
    <row r="44">
      <c r="A44" s="69">
        <f>Partite!$A44</f>
        <v/>
      </c>
      <c r="B44" s="25">
        <f>Partite!$B44</f>
        <v/>
      </c>
      <c r="C44" s="70">
        <f>IF(Partite!$E44="","",Partite!$E44)</f>
        <v/>
      </c>
      <c r="D44" s="70">
        <f>IF(Partite!$F44="","",Partite!$F44)</f>
        <v/>
      </c>
      <c r="E44" s="71" t="n"/>
      <c r="F44" s="71" t="n"/>
      <c r="G44" s="71" t="n"/>
      <c r="H44" s="71" t="n"/>
      <c r="I44" s="71" t="n"/>
      <c r="J44" s="71" t="n"/>
      <c r="K44" s="71" t="n"/>
      <c r="L44" s="71" t="n"/>
      <c r="M44" s="71" t="n"/>
      <c r="N44" s="71" t="n"/>
      <c r="O44" s="71" t="n"/>
      <c r="P44" s="71" t="n"/>
      <c r="Q44" s="71" t="n"/>
      <c r="R44" s="71" t="n"/>
      <c r="S44" s="71" t="n"/>
    </row>
    <row r="45">
      <c r="A45" s="69">
        <f>Partite!$A45</f>
        <v/>
      </c>
      <c r="B45" s="25">
        <f>Partite!$B45</f>
        <v/>
      </c>
      <c r="C45" s="70">
        <f>IF(Partite!$E45="","",Partite!$E45)</f>
        <v/>
      </c>
      <c r="D45" s="70">
        <f>IF(Partite!$F45="","",Partite!$F45)</f>
        <v/>
      </c>
      <c r="E45" s="71" t="n"/>
      <c r="F45" s="71" t="n"/>
      <c r="G45" s="71" t="n"/>
      <c r="H45" s="71" t="n"/>
      <c r="I45" s="71" t="n"/>
      <c r="J45" s="71" t="n"/>
      <c r="K45" s="71" t="n"/>
      <c r="L45" s="71" t="n"/>
      <c r="M45" s="71" t="n"/>
      <c r="N45" s="71" t="n"/>
      <c r="O45" s="71" t="n"/>
      <c r="P45" s="71" t="n"/>
      <c r="Q45" s="71" t="n"/>
      <c r="R45" s="71" t="n"/>
      <c r="S45" s="71" t="n"/>
    </row>
    <row r="46">
      <c r="A46" s="69">
        <f>Partite!$A46</f>
        <v/>
      </c>
      <c r="B46" s="25">
        <f>Partite!$B46</f>
        <v/>
      </c>
      <c r="C46" s="70">
        <f>IF(Partite!$E46="","",Partite!$E46)</f>
        <v/>
      </c>
      <c r="D46" s="70">
        <f>IF(Partite!$F46="","",Partite!$F46)</f>
        <v/>
      </c>
      <c r="E46" s="71" t="n"/>
      <c r="F46" s="71" t="n"/>
      <c r="G46" s="71" t="n"/>
      <c r="H46" s="71" t="n"/>
      <c r="I46" s="71" t="n"/>
      <c r="J46" s="71" t="n"/>
      <c r="K46" s="71" t="n"/>
      <c r="L46" s="71" t="n"/>
      <c r="M46" s="71" t="n"/>
      <c r="N46" s="71" t="n"/>
      <c r="O46" s="71" t="n"/>
      <c r="P46" s="71" t="n"/>
      <c r="Q46" s="71" t="n"/>
      <c r="R46" s="71" t="n"/>
      <c r="S46" s="71" t="n"/>
    </row>
    <row r="47">
      <c r="A47" s="69">
        <f>Partite!$A47</f>
        <v/>
      </c>
      <c r="B47" s="25">
        <f>Partite!$B47</f>
        <v/>
      </c>
      <c r="C47" s="70">
        <f>IF(Partite!$E47="","",Partite!$E47)</f>
        <v/>
      </c>
      <c r="D47" s="70">
        <f>IF(Partite!$F47="","",Partite!$F47)</f>
        <v/>
      </c>
      <c r="E47" s="71" t="n"/>
      <c r="F47" s="71" t="n"/>
      <c r="G47" s="71" t="n"/>
      <c r="H47" s="71" t="n"/>
      <c r="I47" s="71" t="n"/>
      <c r="J47" s="71" t="n"/>
      <c r="K47" s="71" t="n"/>
      <c r="L47" s="71" t="n"/>
      <c r="M47" s="71" t="n"/>
      <c r="N47" s="71" t="n"/>
      <c r="O47" s="71" t="n"/>
      <c r="P47" s="71" t="n"/>
      <c r="Q47" s="71" t="n"/>
      <c r="R47" s="71" t="n"/>
      <c r="S47" s="71" t="n"/>
    </row>
    <row r="48">
      <c r="A48" s="69">
        <f>Partite!$A48</f>
        <v/>
      </c>
      <c r="B48" s="25">
        <f>Partite!$B48</f>
        <v/>
      </c>
      <c r="C48" s="70">
        <f>IF(Partite!$E48="","",Partite!$E48)</f>
        <v/>
      </c>
      <c r="D48" s="70">
        <f>IF(Partite!$F48="","",Partite!$F48)</f>
        <v/>
      </c>
      <c r="E48" s="71" t="n"/>
      <c r="F48" s="71" t="n"/>
      <c r="G48" s="71" t="n"/>
      <c r="H48" s="71" t="n"/>
      <c r="I48" s="71" t="n"/>
      <c r="J48" s="71" t="n"/>
      <c r="K48" s="71" t="n"/>
      <c r="L48" s="71" t="n"/>
      <c r="M48" s="71" t="n"/>
      <c r="N48" s="71" t="n"/>
      <c r="O48" s="71" t="n"/>
      <c r="P48" s="71" t="n"/>
      <c r="Q48" s="71" t="n"/>
      <c r="R48" s="71" t="n"/>
      <c r="S48" s="71" t="n"/>
    </row>
    <row r="49">
      <c r="A49" s="69">
        <f>Partite!$A49</f>
        <v/>
      </c>
      <c r="B49" s="25">
        <f>Partite!$B49</f>
        <v/>
      </c>
      <c r="C49" s="70">
        <f>IF(Partite!$E49="","",Partite!$E49)</f>
        <v/>
      </c>
      <c r="D49" s="70">
        <f>IF(Partite!$F49="","",Partite!$F49)</f>
        <v/>
      </c>
      <c r="E49" s="71" t="n"/>
      <c r="F49" s="71" t="n"/>
      <c r="G49" s="71" t="n"/>
      <c r="H49" s="71" t="n"/>
      <c r="I49" s="71" t="n"/>
      <c r="J49" s="71" t="n"/>
      <c r="K49" s="71" t="n"/>
      <c r="L49" s="71" t="n"/>
      <c r="M49" s="71" t="n"/>
      <c r="N49" s="71" t="n"/>
      <c r="O49" s="71" t="n"/>
      <c r="P49" s="71" t="n"/>
      <c r="Q49" s="71" t="n"/>
      <c r="R49" s="71" t="n"/>
      <c r="S49" s="71" t="n"/>
    </row>
    <row r="50">
      <c r="A50" s="69">
        <f>Partite!$A50</f>
        <v/>
      </c>
      <c r="B50" s="25">
        <f>Partite!$B50</f>
        <v/>
      </c>
      <c r="C50" s="70">
        <f>IF(Partite!$E50="","",Partite!$E50)</f>
        <v/>
      </c>
      <c r="D50" s="70">
        <f>IF(Partite!$F50="","",Partite!$F50)</f>
        <v/>
      </c>
      <c r="E50" s="71" t="n"/>
      <c r="F50" s="71" t="n"/>
      <c r="G50" s="71" t="n"/>
      <c r="H50" s="71" t="n"/>
      <c r="I50" s="71" t="n"/>
      <c r="J50" s="71" t="n"/>
      <c r="K50" s="71" t="n"/>
      <c r="L50" s="71" t="n"/>
      <c r="M50" s="71" t="n"/>
      <c r="N50" s="71" t="n"/>
      <c r="O50" s="71" t="n"/>
      <c r="P50" s="71" t="n"/>
      <c r="Q50" s="71" t="n"/>
      <c r="R50" s="71" t="n"/>
      <c r="S50" s="71" t="n"/>
    </row>
    <row r="51">
      <c r="A51" s="69">
        <f>Partite!$A51</f>
        <v/>
      </c>
      <c r="B51" s="25">
        <f>Partite!$B51</f>
        <v/>
      </c>
      <c r="C51" s="70">
        <f>IF(Partite!$E51="","",Partite!$E51)</f>
        <v/>
      </c>
      <c r="D51" s="70">
        <f>IF(Partite!$F51="","",Partite!$F51)</f>
        <v/>
      </c>
      <c r="E51" s="71" t="n"/>
      <c r="F51" s="71" t="n"/>
      <c r="G51" s="71" t="n"/>
      <c r="H51" s="71" t="n"/>
      <c r="I51" s="71" t="n"/>
      <c r="J51" s="71" t="n"/>
      <c r="K51" s="71" t="n"/>
      <c r="L51" s="71" t="n"/>
      <c r="M51" s="71" t="n"/>
      <c r="N51" s="71" t="n"/>
      <c r="O51" s="71" t="n"/>
      <c r="P51" s="71" t="n"/>
      <c r="Q51" s="71" t="n"/>
      <c r="R51" s="71" t="n"/>
      <c r="S51" s="71" t="n"/>
    </row>
    <row r="52">
      <c r="A52" s="69">
        <f>Partite!$A52</f>
        <v/>
      </c>
      <c r="B52" s="25">
        <f>Partite!$B52</f>
        <v/>
      </c>
      <c r="C52" s="70">
        <f>IF(Partite!$E52="","",Partite!$E52)</f>
        <v/>
      </c>
      <c r="D52" s="70">
        <f>IF(Partite!$F52="","",Partite!$F52)</f>
        <v/>
      </c>
      <c r="E52" s="71" t="n"/>
      <c r="F52" s="71" t="n"/>
      <c r="G52" s="71" t="n"/>
      <c r="H52" s="71" t="n"/>
      <c r="I52" s="71" t="n"/>
      <c r="J52" s="71" t="n"/>
      <c r="K52" s="71" t="n"/>
      <c r="L52" s="71" t="n"/>
      <c r="M52" s="71" t="n"/>
      <c r="N52" s="71" t="n"/>
      <c r="O52" s="71" t="n"/>
      <c r="P52" s="71" t="n"/>
      <c r="Q52" s="71" t="n"/>
      <c r="R52" s="71" t="n"/>
      <c r="S52" s="71" t="n"/>
    </row>
    <row r="53">
      <c r="A53" s="74">
        <f>Partite!$A53</f>
        <v/>
      </c>
      <c r="B53" s="30">
        <f>Partite!$B53</f>
        <v/>
      </c>
      <c r="C53" s="75">
        <f>IF(Partite!$E53="","",Partite!$E53)</f>
        <v/>
      </c>
      <c r="D53" s="75">
        <f>IF(Partite!$F53="","",Partite!$F53)</f>
        <v/>
      </c>
      <c r="E53" s="71" t="n"/>
      <c r="F53" s="71" t="n"/>
      <c r="G53" s="71" t="n"/>
      <c r="H53" s="71" t="n"/>
      <c r="I53" s="71" t="n"/>
      <c r="J53" s="71" t="n"/>
      <c r="K53" s="71" t="n"/>
      <c r="L53" s="71" t="n"/>
      <c r="M53" s="71" t="n"/>
      <c r="N53" s="71" t="n"/>
      <c r="O53" s="71" t="n"/>
      <c r="P53" s="71" t="n"/>
      <c r="Q53" s="71" t="n"/>
      <c r="R53" s="71" t="n"/>
      <c r="S53" s="71" t="n"/>
    </row>
    <row r="54">
      <c r="A54" s="74">
        <f>Partite!$A54</f>
        <v/>
      </c>
      <c r="B54" s="30">
        <f>Partite!$B54</f>
        <v/>
      </c>
      <c r="C54" s="75">
        <f>IF(Partite!$E54="","",Partite!$E54)</f>
        <v/>
      </c>
      <c r="D54" s="75">
        <f>IF(Partite!$F54="","",Partite!$F54)</f>
        <v/>
      </c>
      <c r="E54" s="71" t="n"/>
      <c r="F54" s="71" t="n"/>
      <c r="G54" s="71" t="n"/>
      <c r="H54" s="71" t="n"/>
      <c r="I54" s="71" t="n"/>
      <c r="J54" s="71" t="n"/>
      <c r="K54" s="71" t="n"/>
      <c r="L54" s="71" t="n"/>
      <c r="M54" s="71" t="n"/>
      <c r="N54" s="71" t="n"/>
      <c r="O54" s="71" t="n"/>
      <c r="P54" s="71" t="n"/>
      <c r="Q54" s="71" t="n"/>
      <c r="R54" s="71" t="n"/>
      <c r="S54" s="71" t="n"/>
    </row>
    <row r="55">
      <c r="A55" s="74">
        <f>Partite!$A55</f>
        <v/>
      </c>
      <c r="B55" s="30">
        <f>Partite!$B55</f>
        <v/>
      </c>
      <c r="C55" s="75">
        <f>IF(Partite!$E55="","",Partite!$E55)</f>
        <v/>
      </c>
      <c r="D55" s="75">
        <f>IF(Partite!$F55="","",Partite!$F55)</f>
        <v/>
      </c>
      <c r="E55" s="71" t="n"/>
      <c r="F55" s="71" t="n"/>
      <c r="G55" s="71" t="n"/>
      <c r="H55" s="71" t="n"/>
      <c r="I55" s="71" t="n"/>
      <c r="J55" s="71" t="n"/>
      <c r="K55" s="71" t="n"/>
      <c r="L55" s="71" t="n"/>
      <c r="M55" s="71" t="n"/>
      <c r="N55" s="71" t="n"/>
      <c r="O55" s="71" t="n"/>
      <c r="P55" s="71" t="n"/>
      <c r="Q55" s="71" t="n"/>
      <c r="R55" s="71" t="n"/>
      <c r="S55" s="71" t="n"/>
    </row>
    <row r="56">
      <c r="A56" s="74">
        <f>Partite!$A56</f>
        <v/>
      </c>
      <c r="B56" s="30">
        <f>Partite!$B56</f>
        <v/>
      </c>
      <c r="C56" s="75">
        <f>IF(Partite!$E56="","",Partite!$E56)</f>
        <v/>
      </c>
      <c r="D56" s="75">
        <f>IF(Partite!$F56="","",Partite!$F56)</f>
        <v/>
      </c>
      <c r="E56" s="71" t="n"/>
      <c r="F56" s="71" t="n"/>
      <c r="G56" s="71" t="n"/>
      <c r="H56" s="71" t="n"/>
      <c r="I56" s="71" t="n"/>
      <c r="J56" s="71" t="n"/>
      <c r="K56" s="71" t="n"/>
      <c r="L56" s="71" t="n"/>
      <c r="M56" s="71" t="n"/>
      <c r="N56" s="71" t="n"/>
      <c r="O56" s="71" t="n"/>
      <c r="P56" s="71" t="n"/>
      <c r="Q56" s="71" t="n"/>
      <c r="R56" s="71" t="n"/>
      <c r="S56" s="71" t="n"/>
    </row>
    <row r="57">
      <c r="A57" s="74">
        <f>Partite!$A57</f>
        <v/>
      </c>
      <c r="B57" s="30">
        <f>Partite!$B57</f>
        <v/>
      </c>
      <c r="C57" s="75">
        <f>IF(Partite!$E57="","",Partite!$E57)</f>
        <v/>
      </c>
      <c r="D57" s="75">
        <f>IF(Partite!$F57="","",Partite!$F57)</f>
        <v/>
      </c>
      <c r="E57" s="71" t="n"/>
      <c r="F57" s="71" t="n"/>
      <c r="G57" s="71" t="n"/>
      <c r="H57" s="71" t="n"/>
      <c r="I57" s="71" t="n"/>
      <c r="J57" s="71" t="n"/>
      <c r="K57" s="71" t="n"/>
      <c r="L57" s="71" t="n"/>
      <c r="M57" s="71" t="n"/>
      <c r="N57" s="71" t="n"/>
      <c r="O57" s="71" t="n"/>
      <c r="P57" s="71" t="n"/>
      <c r="Q57" s="71" t="n"/>
      <c r="R57" s="71" t="n"/>
      <c r="S57" s="71" t="n"/>
    </row>
    <row r="58">
      <c r="A58" s="74">
        <f>Partite!$A58</f>
        <v/>
      </c>
      <c r="B58" s="30">
        <f>Partite!$B58</f>
        <v/>
      </c>
      <c r="C58" s="75">
        <f>IF(Partite!$E58="","",Partite!$E58)</f>
        <v/>
      </c>
      <c r="D58" s="75">
        <f>IF(Partite!$F58="","",Partite!$F58)</f>
        <v/>
      </c>
      <c r="E58" s="71" t="n"/>
      <c r="F58" s="71" t="n"/>
      <c r="G58" s="71" t="n"/>
      <c r="H58" s="71" t="n"/>
      <c r="I58" s="71" t="n"/>
      <c r="J58" s="71" t="n"/>
      <c r="K58" s="71" t="n"/>
      <c r="L58" s="71" t="n"/>
      <c r="M58" s="71" t="n"/>
      <c r="N58" s="71" t="n"/>
      <c r="O58" s="71" t="n"/>
      <c r="P58" s="71" t="n"/>
      <c r="Q58" s="71" t="n"/>
      <c r="R58" s="71" t="n"/>
      <c r="S58" s="71" t="n"/>
    </row>
    <row r="59">
      <c r="A59" s="74">
        <f>Partite!$A59</f>
        <v/>
      </c>
      <c r="B59" s="30">
        <f>Partite!$B59</f>
        <v/>
      </c>
      <c r="C59" s="75">
        <f>IF(Partite!$E59="","",Partite!$E59)</f>
        <v/>
      </c>
      <c r="D59" s="75">
        <f>IF(Partite!$F59="","",Partite!$F59)</f>
        <v/>
      </c>
      <c r="E59" s="71" t="n"/>
      <c r="F59" s="71" t="n"/>
      <c r="G59" s="71" t="n"/>
      <c r="H59" s="71" t="n"/>
      <c r="I59" s="71" t="n"/>
      <c r="J59" s="71" t="n"/>
      <c r="K59" s="71" t="n"/>
      <c r="L59" s="71" t="n"/>
      <c r="M59" s="71" t="n"/>
      <c r="N59" s="71" t="n"/>
      <c r="O59" s="71" t="n"/>
      <c r="P59" s="71" t="n"/>
      <c r="Q59" s="71" t="n"/>
      <c r="R59" s="71" t="n"/>
      <c r="S59" s="71" t="n"/>
    </row>
    <row r="60">
      <c r="A60" s="74">
        <f>Partite!$A60</f>
        <v/>
      </c>
      <c r="B60" s="30">
        <f>Partite!$B60</f>
        <v/>
      </c>
      <c r="C60" s="75">
        <f>IF(Partite!$E60="","",Partite!$E60)</f>
        <v/>
      </c>
      <c r="D60" s="75">
        <f>IF(Partite!$F60="","",Partite!$F60)</f>
        <v/>
      </c>
      <c r="E60" s="71" t="n"/>
      <c r="F60" s="71" t="n"/>
      <c r="G60" s="71" t="n"/>
      <c r="H60" s="71" t="n"/>
      <c r="I60" s="71" t="n"/>
      <c r="J60" s="71" t="n"/>
      <c r="K60" s="71" t="n"/>
      <c r="L60" s="71" t="n"/>
      <c r="M60" s="71" t="n"/>
      <c r="N60" s="71" t="n"/>
      <c r="O60" s="71" t="n"/>
      <c r="P60" s="71" t="n"/>
      <c r="Q60" s="71" t="n"/>
      <c r="R60" s="71" t="n"/>
      <c r="S60" s="71" t="n"/>
    </row>
    <row r="61">
      <c r="A61" s="74">
        <f>Partite!$A61</f>
        <v/>
      </c>
      <c r="B61" s="30">
        <f>Partite!$B61</f>
        <v/>
      </c>
      <c r="C61" s="75">
        <f>IF(Partite!$E61="","",Partite!$E61)</f>
        <v/>
      </c>
      <c r="D61" s="75">
        <f>IF(Partite!$F61="","",Partite!$F61)</f>
        <v/>
      </c>
      <c r="E61" s="71" t="n"/>
      <c r="F61" s="71" t="n"/>
      <c r="G61" s="71" t="n"/>
      <c r="H61" s="71" t="n"/>
      <c r="I61" s="71" t="n"/>
      <c r="J61" s="71" t="n"/>
      <c r="K61" s="71" t="n"/>
      <c r="L61" s="71" t="n"/>
      <c r="M61" s="71" t="n"/>
      <c r="N61" s="71" t="n"/>
      <c r="O61" s="71" t="n"/>
      <c r="P61" s="71" t="n"/>
      <c r="Q61" s="71" t="n"/>
      <c r="R61" s="71" t="n"/>
      <c r="S61" s="71" t="n"/>
    </row>
    <row r="62">
      <c r="A62" s="74">
        <f>Partite!$A62</f>
        <v/>
      </c>
      <c r="B62" s="30">
        <f>Partite!$B62</f>
        <v/>
      </c>
      <c r="C62" s="75">
        <f>IF(Partite!$E62="","",Partite!$E62)</f>
        <v/>
      </c>
      <c r="D62" s="75">
        <f>IF(Partite!$F62="","",Partite!$F62)</f>
        <v/>
      </c>
      <c r="E62" s="71" t="n"/>
      <c r="F62" s="71" t="n"/>
      <c r="G62" s="71" t="n"/>
      <c r="H62" s="71" t="n"/>
      <c r="I62" s="71" t="n"/>
      <c r="J62" s="71" t="n"/>
      <c r="K62" s="71" t="n"/>
      <c r="L62" s="71" t="n"/>
      <c r="M62" s="71" t="n"/>
      <c r="N62" s="71" t="n"/>
      <c r="O62" s="71" t="n"/>
      <c r="P62" s="71" t="n"/>
      <c r="Q62" s="71" t="n"/>
      <c r="R62" s="71" t="n"/>
      <c r="S62" s="71" t="n"/>
    </row>
  </sheetData>
  <autoFilter ref="A2:D6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E53 E54 E55 E56 E57 E58 E59 E60 E61 E62 H3 H4 H5 H6 H7 H8 H9 H10 H11 H12 H13 H14 H15 H16 H17 H18 H19 H20 H21 H22 H23 H24 H25 H26 H27 H28 H29 H30 H31 H32 H33 H34 H35 H36 H37 H38 H39 H40 H41 H42 H43 H44 H45 H46 H47 H48 H49 H50 H51 H52 H53 H54 H55 H56 H57 H58 H59 H60 H61 H62 K3 K4 K5 K6 K7 K8 K9 K10 K11 K12 K13 K14 K15 K16 K17 K18 K19 K20 K21 K22 K23 K24 K25 K26 K27 K28 K29 K30 K31 K32 K33 K34 K35 K36 K37 K38 K39 K40 K41 K42 K43 K44 K45 K46 K47 K48 K49 K50 K51 K52 K53 K54 K55 K56 K57 K58 K59 K60 K61 K62 N3 N4 N5 N6 N7 N8 N9 N10 N11 N12 N13 N14 N15 N16 N17 N18 N19 N20 N21 N22 N23 N24 N25 N26 N27 N28 N29 N30 N31 N32 N33 N34 N35 N36 N37 N38 N39 N40 N41 N42 N43 N44 N45 N46 N47 N48 N49 N50 N51 N52 N53 N54 N55 N56 N57 N58 N59 N60 N61 N62 Q3 Q4 Q5 Q6 Q7 Q8 Q9 Q10 Q11 Q12 Q13 Q14 Q15 Q16 Q17 Q18 Q19 Q20 Q21 Q22 Q23 Q24 Q25 Q26 Q27 Q28 Q29 Q30 Q31 Q32 Q33 Q34 Q35 Q36 Q37 Q38 Q39 Q40 Q41 Q42 Q43 Q44 Q45 Q46 Q47 Q48 Q49 Q50 Q51 Q52 Q53 Q54 Q55 Q56 Q57 Q58 Q59 Q60 Q61 Q6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6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row r="53">
      <c r="A53" s="74">
        <f>Partite!$A53</f>
        <v/>
      </c>
      <c r="B53" s="30">
        <f>Partite!$B53</f>
        <v/>
      </c>
      <c r="C53" s="47">
        <f>IF(Partite!$E53="","",Partite!$E53&amp;"  -  "&amp;Partite!$F53)</f>
        <v/>
      </c>
      <c r="D53" s="27">
        <f>IF(Partite!$K53&lt;&gt;"Giocata","",IF(AND(Pronostici!$F53&lt;&gt;"",Pronostici!$G53&lt;&gt;"",Pronostici!$F53=Partite!$G53,Pronostici!$G53=Partite!$H53),Config!$D$6,IF(AND($J53&lt;&gt;"",$J53=Partite!$I53),Config!$D$7,Config!$D$8)))</f>
        <v/>
      </c>
      <c r="E53" s="27">
        <f>IF(Partite!$K53&lt;&gt;"Giocata","",IF(AND(Pronostici!$I53&lt;&gt;"",Pronostici!$J53&lt;&gt;"",Pronostici!$I53=Partite!$G53,Pronostici!$J53=Partite!$H53),Config!$D$6,IF(AND($K53&lt;&gt;"",$K53=Partite!$I53),Config!$D$7,Config!$D$8)))</f>
        <v/>
      </c>
      <c r="F53" s="27">
        <f>IF(Partite!$K53&lt;&gt;"Giocata","",IF(AND(Pronostici!$L53&lt;&gt;"",Pronostici!$M53&lt;&gt;"",Pronostici!$L53=Partite!$G53,Pronostici!$M53=Partite!$H53),Config!$D$6,IF(AND($L53&lt;&gt;"",$L53=Partite!$I53),Config!$D$7,Config!$D$8)))</f>
        <v/>
      </c>
      <c r="G53" s="27">
        <f>IF(Partite!$K53&lt;&gt;"Giocata","",IF(AND(Pronostici!$O53&lt;&gt;"",Pronostici!$P53&lt;&gt;"",Pronostici!$O53=Partite!$G53,Pronostici!$P53=Partite!$H53),Config!$D$6,IF(AND($M53&lt;&gt;"",$M53=Partite!$I53),Config!$D$7,Config!$D$8)))</f>
        <v/>
      </c>
      <c r="H53" s="27">
        <f>IF(Partite!$K53&lt;&gt;"Giocata","",IF(AND(Pronostici!$R53&lt;&gt;"",Pronostici!$S53&lt;&gt;"",Pronostici!$R53=Partite!$G53,Pronostici!$S53=Partite!$H53),Config!$D$6,IF(AND($N53&lt;&gt;"",$N53=Partite!$I53),Config!$D$7,Config!$D$8)))</f>
        <v/>
      </c>
      <c r="J53" s="63">
        <f>IF(Pronostici!$E53&lt;&gt;"",UPPER(Pronostici!$E53),IF(OR(Pronostici!$F53="",Pronostici!$G53=""),"",IF(Pronostici!$F53&gt;Pronostici!$G53,"1",IF(Pronostici!$F53=Pronostici!$G53,"X","2"))))</f>
        <v/>
      </c>
      <c r="K53" s="63">
        <f>IF(Pronostici!$H53&lt;&gt;"",UPPER(Pronostici!$H53),IF(OR(Pronostici!$I53="",Pronostici!$J53=""),"",IF(Pronostici!$I53&gt;Pronostici!$J53,"1",IF(Pronostici!$I53=Pronostici!$J53,"X","2"))))</f>
        <v/>
      </c>
      <c r="L53" s="63">
        <f>IF(Pronostici!$K53&lt;&gt;"",UPPER(Pronostici!$K53),IF(OR(Pronostici!$L53="",Pronostici!$M53=""),"",IF(Pronostici!$L53&gt;Pronostici!$M53,"1",IF(Pronostici!$L53=Pronostici!$M53,"X","2"))))</f>
        <v/>
      </c>
      <c r="M53" s="63">
        <f>IF(Pronostici!$N53&lt;&gt;"",UPPER(Pronostici!$N53),IF(OR(Pronostici!$O53="",Pronostici!$P53=""),"",IF(Pronostici!$O53&gt;Pronostici!$P53,"1",IF(Pronostici!$O53=Pronostici!$P53,"X","2"))))</f>
        <v/>
      </c>
      <c r="N53" s="63">
        <f>IF(Pronostici!$Q53&lt;&gt;"",UPPER(Pronostici!$Q53),IF(OR(Pronostici!$R53="",Pronostici!$S53=""),"",IF(Pronostici!$R53&gt;Pronostici!$S53,"1",IF(Pronostici!$R53=Pronostici!$S53,"X","2"))))</f>
        <v/>
      </c>
    </row>
    <row r="54">
      <c r="A54" s="74">
        <f>Partite!$A54</f>
        <v/>
      </c>
      <c r="B54" s="30">
        <f>Partite!$B54</f>
        <v/>
      </c>
      <c r="C54" s="47">
        <f>IF(Partite!$E54="","",Partite!$E54&amp;"  -  "&amp;Partite!$F54)</f>
        <v/>
      </c>
      <c r="D54" s="27">
        <f>IF(Partite!$K54&lt;&gt;"Giocata","",IF(AND(Pronostici!$F54&lt;&gt;"",Pronostici!$G54&lt;&gt;"",Pronostici!$F54=Partite!$G54,Pronostici!$G54=Partite!$H54),Config!$D$6,IF(AND($J54&lt;&gt;"",$J54=Partite!$I54),Config!$D$7,Config!$D$8)))</f>
        <v/>
      </c>
      <c r="E54" s="27">
        <f>IF(Partite!$K54&lt;&gt;"Giocata","",IF(AND(Pronostici!$I54&lt;&gt;"",Pronostici!$J54&lt;&gt;"",Pronostici!$I54=Partite!$G54,Pronostici!$J54=Partite!$H54),Config!$D$6,IF(AND($K54&lt;&gt;"",$K54=Partite!$I54),Config!$D$7,Config!$D$8)))</f>
        <v/>
      </c>
      <c r="F54" s="27">
        <f>IF(Partite!$K54&lt;&gt;"Giocata","",IF(AND(Pronostici!$L54&lt;&gt;"",Pronostici!$M54&lt;&gt;"",Pronostici!$L54=Partite!$G54,Pronostici!$M54=Partite!$H54),Config!$D$6,IF(AND($L54&lt;&gt;"",$L54=Partite!$I54),Config!$D$7,Config!$D$8)))</f>
        <v/>
      </c>
      <c r="G54" s="27">
        <f>IF(Partite!$K54&lt;&gt;"Giocata","",IF(AND(Pronostici!$O54&lt;&gt;"",Pronostici!$P54&lt;&gt;"",Pronostici!$O54=Partite!$G54,Pronostici!$P54=Partite!$H54),Config!$D$6,IF(AND($M54&lt;&gt;"",$M54=Partite!$I54),Config!$D$7,Config!$D$8)))</f>
        <v/>
      </c>
      <c r="H54" s="27">
        <f>IF(Partite!$K54&lt;&gt;"Giocata","",IF(AND(Pronostici!$R54&lt;&gt;"",Pronostici!$S54&lt;&gt;"",Pronostici!$R54=Partite!$G54,Pronostici!$S54=Partite!$H54),Config!$D$6,IF(AND($N54&lt;&gt;"",$N54=Partite!$I54),Config!$D$7,Config!$D$8)))</f>
        <v/>
      </c>
      <c r="J54" s="63">
        <f>IF(Pronostici!$E54&lt;&gt;"",UPPER(Pronostici!$E54),IF(OR(Pronostici!$F54="",Pronostici!$G54=""),"",IF(Pronostici!$F54&gt;Pronostici!$G54,"1",IF(Pronostici!$F54=Pronostici!$G54,"X","2"))))</f>
        <v/>
      </c>
      <c r="K54" s="63">
        <f>IF(Pronostici!$H54&lt;&gt;"",UPPER(Pronostici!$H54),IF(OR(Pronostici!$I54="",Pronostici!$J54=""),"",IF(Pronostici!$I54&gt;Pronostici!$J54,"1",IF(Pronostici!$I54=Pronostici!$J54,"X","2"))))</f>
        <v/>
      </c>
      <c r="L54" s="63">
        <f>IF(Pronostici!$K54&lt;&gt;"",UPPER(Pronostici!$K54),IF(OR(Pronostici!$L54="",Pronostici!$M54=""),"",IF(Pronostici!$L54&gt;Pronostici!$M54,"1",IF(Pronostici!$L54=Pronostici!$M54,"X","2"))))</f>
        <v/>
      </c>
      <c r="M54" s="63">
        <f>IF(Pronostici!$N54&lt;&gt;"",UPPER(Pronostici!$N54),IF(OR(Pronostici!$O54="",Pronostici!$P54=""),"",IF(Pronostici!$O54&gt;Pronostici!$P54,"1",IF(Pronostici!$O54=Pronostici!$P54,"X","2"))))</f>
        <v/>
      </c>
      <c r="N54" s="63">
        <f>IF(Pronostici!$Q54&lt;&gt;"",UPPER(Pronostici!$Q54),IF(OR(Pronostici!$R54="",Pronostici!$S54=""),"",IF(Pronostici!$R54&gt;Pronostici!$S54,"1",IF(Pronostici!$R54=Pronostici!$S54,"X","2"))))</f>
        <v/>
      </c>
    </row>
    <row r="55">
      <c r="A55" s="74">
        <f>Partite!$A55</f>
        <v/>
      </c>
      <c r="B55" s="30">
        <f>Partite!$B55</f>
        <v/>
      </c>
      <c r="C55" s="47">
        <f>IF(Partite!$E55="","",Partite!$E55&amp;"  -  "&amp;Partite!$F55)</f>
        <v/>
      </c>
      <c r="D55" s="27">
        <f>IF(Partite!$K55&lt;&gt;"Giocata","",IF(AND(Pronostici!$F55&lt;&gt;"",Pronostici!$G55&lt;&gt;"",Pronostici!$F55=Partite!$G55,Pronostici!$G55=Partite!$H55),Config!$D$6,IF(AND($J55&lt;&gt;"",$J55=Partite!$I55),Config!$D$7,Config!$D$8)))</f>
        <v/>
      </c>
      <c r="E55" s="27">
        <f>IF(Partite!$K55&lt;&gt;"Giocata","",IF(AND(Pronostici!$I55&lt;&gt;"",Pronostici!$J55&lt;&gt;"",Pronostici!$I55=Partite!$G55,Pronostici!$J55=Partite!$H55),Config!$D$6,IF(AND($K55&lt;&gt;"",$K55=Partite!$I55),Config!$D$7,Config!$D$8)))</f>
        <v/>
      </c>
      <c r="F55" s="27">
        <f>IF(Partite!$K55&lt;&gt;"Giocata","",IF(AND(Pronostici!$L55&lt;&gt;"",Pronostici!$M55&lt;&gt;"",Pronostici!$L55=Partite!$G55,Pronostici!$M55=Partite!$H55),Config!$D$6,IF(AND($L55&lt;&gt;"",$L55=Partite!$I55),Config!$D$7,Config!$D$8)))</f>
        <v/>
      </c>
      <c r="G55" s="27">
        <f>IF(Partite!$K55&lt;&gt;"Giocata","",IF(AND(Pronostici!$O55&lt;&gt;"",Pronostici!$P55&lt;&gt;"",Pronostici!$O55=Partite!$G55,Pronostici!$P55=Partite!$H55),Config!$D$6,IF(AND($M55&lt;&gt;"",$M55=Partite!$I55),Config!$D$7,Config!$D$8)))</f>
        <v/>
      </c>
      <c r="H55" s="27">
        <f>IF(Partite!$K55&lt;&gt;"Giocata","",IF(AND(Pronostici!$R55&lt;&gt;"",Pronostici!$S55&lt;&gt;"",Pronostici!$R55=Partite!$G55,Pronostici!$S55=Partite!$H55),Config!$D$6,IF(AND($N55&lt;&gt;"",$N55=Partite!$I55),Config!$D$7,Config!$D$8)))</f>
        <v/>
      </c>
      <c r="J55" s="63">
        <f>IF(Pronostici!$E55&lt;&gt;"",UPPER(Pronostici!$E55),IF(OR(Pronostici!$F55="",Pronostici!$G55=""),"",IF(Pronostici!$F55&gt;Pronostici!$G55,"1",IF(Pronostici!$F55=Pronostici!$G55,"X","2"))))</f>
        <v/>
      </c>
      <c r="K55" s="63">
        <f>IF(Pronostici!$H55&lt;&gt;"",UPPER(Pronostici!$H55),IF(OR(Pronostici!$I55="",Pronostici!$J55=""),"",IF(Pronostici!$I55&gt;Pronostici!$J55,"1",IF(Pronostici!$I55=Pronostici!$J55,"X","2"))))</f>
        <v/>
      </c>
      <c r="L55" s="63">
        <f>IF(Pronostici!$K55&lt;&gt;"",UPPER(Pronostici!$K55),IF(OR(Pronostici!$L55="",Pronostici!$M55=""),"",IF(Pronostici!$L55&gt;Pronostici!$M55,"1",IF(Pronostici!$L55=Pronostici!$M55,"X","2"))))</f>
        <v/>
      </c>
      <c r="M55" s="63">
        <f>IF(Pronostici!$N55&lt;&gt;"",UPPER(Pronostici!$N55),IF(OR(Pronostici!$O55="",Pronostici!$P55=""),"",IF(Pronostici!$O55&gt;Pronostici!$P55,"1",IF(Pronostici!$O55=Pronostici!$P55,"X","2"))))</f>
        <v/>
      </c>
      <c r="N55" s="63">
        <f>IF(Pronostici!$Q55&lt;&gt;"",UPPER(Pronostici!$Q55),IF(OR(Pronostici!$R55="",Pronostici!$S55=""),"",IF(Pronostici!$R55&gt;Pronostici!$S55,"1",IF(Pronostici!$R55=Pronostici!$S55,"X","2"))))</f>
        <v/>
      </c>
    </row>
    <row r="56">
      <c r="A56" s="74">
        <f>Partite!$A56</f>
        <v/>
      </c>
      <c r="B56" s="30">
        <f>Partite!$B56</f>
        <v/>
      </c>
      <c r="C56" s="47">
        <f>IF(Partite!$E56="","",Partite!$E56&amp;"  -  "&amp;Partite!$F56)</f>
        <v/>
      </c>
      <c r="D56" s="27">
        <f>IF(Partite!$K56&lt;&gt;"Giocata","",IF(AND(Pronostici!$F56&lt;&gt;"",Pronostici!$G56&lt;&gt;"",Pronostici!$F56=Partite!$G56,Pronostici!$G56=Partite!$H56),Config!$D$6,IF(AND($J56&lt;&gt;"",$J56=Partite!$I56),Config!$D$7,Config!$D$8)))</f>
        <v/>
      </c>
      <c r="E56" s="27">
        <f>IF(Partite!$K56&lt;&gt;"Giocata","",IF(AND(Pronostici!$I56&lt;&gt;"",Pronostici!$J56&lt;&gt;"",Pronostici!$I56=Partite!$G56,Pronostici!$J56=Partite!$H56),Config!$D$6,IF(AND($K56&lt;&gt;"",$K56=Partite!$I56),Config!$D$7,Config!$D$8)))</f>
        <v/>
      </c>
      <c r="F56" s="27">
        <f>IF(Partite!$K56&lt;&gt;"Giocata","",IF(AND(Pronostici!$L56&lt;&gt;"",Pronostici!$M56&lt;&gt;"",Pronostici!$L56=Partite!$G56,Pronostici!$M56=Partite!$H56),Config!$D$6,IF(AND($L56&lt;&gt;"",$L56=Partite!$I56),Config!$D$7,Config!$D$8)))</f>
        <v/>
      </c>
      <c r="G56" s="27">
        <f>IF(Partite!$K56&lt;&gt;"Giocata","",IF(AND(Pronostici!$O56&lt;&gt;"",Pronostici!$P56&lt;&gt;"",Pronostici!$O56=Partite!$G56,Pronostici!$P56=Partite!$H56),Config!$D$6,IF(AND($M56&lt;&gt;"",$M56=Partite!$I56),Config!$D$7,Config!$D$8)))</f>
        <v/>
      </c>
      <c r="H56" s="27">
        <f>IF(Partite!$K56&lt;&gt;"Giocata","",IF(AND(Pronostici!$R56&lt;&gt;"",Pronostici!$S56&lt;&gt;"",Pronostici!$R56=Partite!$G56,Pronostici!$S56=Partite!$H56),Config!$D$6,IF(AND($N56&lt;&gt;"",$N56=Partite!$I56),Config!$D$7,Config!$D$8)))</f>
        <v/>
      </c>
      <c r="J56" s="63">
        <f>IF(Pronostici!$E56&lt;&gt;"",UPPER(Pronostici!$E56),IF(OR(Pronostici!$F56="",Pronostici!$G56=""),"",IF(Pronostici!$F56&gt;Pronostici!$G56,"1",IF(Pronostici!$F56=Pronostici!$G56,"X","2"))))</f>
        <v/>
      </c>
      <c r="K56" s="63">
        <f>IF(Pronostici!$H56&lt;&gt;"",UPPER(Pronostici!$H56),IF(OR(Pronostici!$I56="",Pronostici!$J56=""),"",IF(Pronostici!$I56&gt;Pronostici!$J56,"1",IF(Pronostici!$I56=Pronostici!$J56,"X","2"))))</f>
        <v/>
      </c>
      <c r="L56" s="63">
        <f>IF(Pronostici!$K56&lt;&gt;"",UPPER(Pronostici!$K56),IF(OR(Pronostici!$L56="",Pronostici!$M56=""),"",IF(Pronostici!$L56&gt;Pronostici!$M56,"1",IF(Pronostici!$L56=Pronostici!$M56,"X","2"))))</f>
        <v/>
      </c>
      <c r="M56" s="63">
        <f>IF(Pronostici!$N56&lt;&gt;"",UPPER(Pronostici!$N56),IF(OR(Pronostici!$O56="",Pronostici!$P56=""),"",IF(Pronostici!$O56&gt;Pronostici!$P56,"1",IF(Pronostici!$O56=Pronostici!$P56,"X","2"))))</f>
        <v/>
      </c>
      <c r="N56" s="63">
        <f>IF(Pronostici!$Q56&lt;&gt;"",UPPER(Pronostici!$Q56),IF(OR(Pronostici!$R56="",Pronostici!$S56=""),"",IF(Pronostici!$R56&gt;Pronostici!$S56,"1",IF(Pronostici!$R56=Pronostici!$S56,"X","2"))))</f>
        <v/>
      </c>
    </row>
    <row r="57">
      <c r="A57" s="74">
        <f>Partite!$A57</f>
        <v/>
      </c>
      <c r="B57" s="30">
        <f>Partite!$B57</f>
        <v/>
      </c>
      <c r="C57" s="47">
        <f>IF(Partite!$E57="","",Partite!$E57&amp;"  -  "&amp;Partite!$F57)</f>
        <v/>
      </c>
      <c r="D57" s="27">
        <f>IF(Partite!$K57&lt;&gt;"Giocata","",IF(AND(Pronostici!$F57&lt;&gt;"",Pronostici!$G57&lt;&gt;"",Pronostici!$F57=Partite!$G57,Pronostici!$G57=Partite!$H57),Config!$D$6,IF(AND($J57&lt;&gt;"",$J57=Partite!$I57),Config!$D$7,Config!$D$8)))</f>
        <v/>
      </c>
      <c r="E57" s="27">
        <f>IF(Partite!$K57&lt;&gt;"Giocata","",IF(AND(Pronostici!$I57&lt;&gt;"",Pronostici!$J57&lt;&gt;"",Pronostici!$I57=Partite!$G57,Pronostici!$J57=Partite!$H57),Config!$D$6,IF(AND($K57&lt;&gt;"",$K57=Partite!$I57),Config!$D$7,Config!$D$8)))</f>
        <v/>
      </c>
      <c r="F57" s="27">
        <f>IF(Partite!$K57&lt;&gt;"Giocata","",IF(AND(Pronostici!$L57&lt;&gt;"",Pronostici!$M57&lt;&gt;"",Pronostici!$L57=Partite!$G57,Pronostici!$M57=Partite!$H57),Config!$D$6,IF(AND($L57&lt;&gt;"",$L57=Partite!$I57),Config!$D$7,Config!$D$8)))</f>
        <v/>
      </c>
      <c r="G57" s="27">
        <f>IF(Partite!$K57&lt;&gt;"Giocata","",IF(AND(Pronostici!$O57&lt;&gt;"",Pronostici!$P57&lt;&gt;"",Pronostici!$O57=Partite!$G57,Pronostici!$P57=Partite!$H57),Config!$D$6,IF(AND($M57&lt;&gt;"",$M57=Partite!$I57),Config!$D$7,Config!$D$8)))</f>
        <v/>
      </c>
      <c r="H57" s="27">
        <f>IF(Partite!$K57&lt;&gt;"Giocata","",IF(AND(Pronostici!$R57&lt;&gt;"",Pronostici!$S57&lt;&gt;"",Pronostici!$R57=Partite!$G57,Pronostici!$S57=Partite!$H57),Config!$D$6,IF(AND($N57&lt;&gt;"",$N57=Partite!$I57),Config!$D$7,Config!$D$8)))</f>
        <v/>
      </c>
      <c r="J57" s="63">
        <f>IF(Pronostici!$E57&lt;&gt;"",UPPER(Pronostici!$E57),IF(OR(Pronostici!$F57="",Pronostici!$G57=""),"",IF(Pronostici!$F57&gt;Pronostici!$G57,"1",IF(Pronostici!$F57=Pronostici!$G57,"X","2"))))</f>
        <v/>
      </c>
      <c r="K57" s="63">
        <f>IF(Pronostici!$H57&lt;&gt;"",UPPER(Pronostici!$H57),IF(OR(Pronostici!$I57="",Pronostici!$J57=""),"",IF(Pronostici!$I57&gt;Pronostici!$J57,"1",IF(Pronostici!$I57=Pronostici!$J57,"X","2"))))</f>
        <v/>
      </c>
      <c r="L57" s="63">
        <f>IF(Pronostici!$K57&lt;&gt;"",UPPER(Pronostici!$K57),IF(OR(Pronostici!$L57="",Pronostici!$M57=""),"",IF(Pronostici!$L57&gt;Pronostici!$M57,"1",IF(Pronostici!$L57=Pronostici!$M57,"X","2"))))</f>
        <v/>
      </c>
      <c r="M57" s="63">
        <f>IF(Pronostici!$N57&lt;&gt;"",UPPER(Pronostici!$N57),IF(OR(Pronostici!$O57="",Pronostici!$P57=""),"",IF(Pronostici!$O57&gt;Pronostici!$P57,"1",IF(Pronostici!$O57=Pronostici!$P57,"X","2"))))</f>
        <v/>
      </c>
      <c r="N57" s="63">
        <f>IF(Pronostici!$Q57&lt;&gt;"",UPPER(Pronostici!$Q57),IF(OR(Pronostici!$R57="",Pronostici!$S57=""),"",IF(Pronostici!$R57&gt;Pronostici!$S57,"1",IF(Pronostici!$R57=Pronostici!$S57,"X","2"))))</f>
        <v/>
      </c>
    </row>
    <row r="58">
      <c r="A58" s="74">
        <f>Partite!$A58</f>
        <v/>
      </c>
      <c r="B58" s="30">
        <f>Partite!$B58</f>
        <v/>
      </c>
      <c r="C58" s="47">
        <f>IF(Partite!$E58="","",Partite!$E58&amp;"  -  "&amp;Partite!$F58)</f>
        <v/>
      </c>
      <c r="D58" s="27">
        <f>IF(Partite!$K58&lt;&gt;"Giocata","",IF(AND(Pronostici!$F58&lt;&gt;"",Pronostici!$G58&lt;&gt;"",Pronostici!$F58=Partite!$G58,Pronostici!$G58=Partite!$H58),Config!$D$6,IF(AND($J58&lt;&gt;"",$J58=Partite!$I58),Config!$D$7,Config!$D$8)))</f>
        <v/>
      </c>
      <c r="E58" s="27">
        <f>IF(Partite!$K58&lt;&gt;"Giocata","",IF(AND(Pronostici!$I58&lt;&gt;"",Pronostici!$J58&lt;&gt;"",Pronostici!$I58=Partite!$G58,Pronostici!$J58=Partite!$H58),Config!$D$6,IF(AND($K58&lt;&gt;"",$K58=Partite!$I58),Config!$D$7,Config!$D$8)))</f>
        <v/>
      </c>
      <c r="F58" s="27">
        <f>IF(Partite!$K58&lt;&gt;"Giocata","",IF(AND(Pronostici!$L58&lt;&gt;"",Pronostici!$M58&lt;&gt;"",Pronostici!$L58=Partite!$G58,Pronostici!$M58=Partite!$H58),Config!$D$6,IF(AND($L58&lt;&gt;"",$L58=Partite!$I58),Config!$D$7,Config!$D$8)))</f>
        <v/>
      </c>
      <c r="G58" s="27">
        <f>IF(Partite!$K58&lt;&gt;"Giocata","",IF(AND(Pronostici!$O58&lt;&gt;"",Pronostici!$P58&lt;&gt;"",Pronostici!$O58=Partite!$G58,Pronostici!$P58=Partite!$H58),Config!$D$6,IF(AND($M58&lt;&gt;"",$M58=Partite!$I58),Config!$D$7,Config!$D$8)))</f>
        <v/>
      </c>
      <c r="H58" s="27">
        <f>IF(Partite!$K58&lt;&gt;"Giocata","",IF(AND(Pronostici!$R58&lt;&gt;"",Pronostici!$S58&lt;&gt;"",Pronostici!$R58=Partite!$G58,Pronostici!$S58=Partite!$H58),Config!$D$6,IF(AND($N58&lt;&gt;"",$N58=Partite!$I58),Config!$D$7,Config!$D$8)))</f>
        <v/>
      </c>
      <c r="J58" s="63">
        <f>IF(Pronostici!$E58&lt;&gt;"",UPPER(Pronostici!$E58),IF(OR(Pronostici!$F58="",Pronostici!$G58=""),"",IF(Pronostici!$F58&gt;Pronostici!$G58,"1",IF(Pronostici!$F58=Pronostici!$G58,"X","2"))))</f>
        <v/>
      </c>
      <c r="K58" s="63">
        <f>IF(Pronostici!$H58&lt;&gt;"",UPPER(Pronostici!$H58),IF(OR(Pronostici!$I58="",Pronostici!$J58=""),"",IF(Pronostici!$I58&gt;Pronostici!$J58,"1",IF(Pronostici!$I58=Pronostici!$J58,"X","2"))))</f>
        <v/>
      </c>
      <c r="L58" s="63">
        <f>IF(Pronostici!$K58&lt;&gt;"",UPPER(Pronostici!$K58),IF(OR(Pronostici!$L58="",Pronostici!$M58=""),"",IF(Pronostici!$L58&gt;Pronostici!$M58,"1",IF(Pronostici!$L58=Pronostici!$M58,"X","2"))))</f>
        <v/>
      </c>
      <c r="M58" s="63">
        <f>IF(Pronostici!$N58&lt;&gt;"",UPPER(Pronostici!$N58),IF(OR(Pronostici!$O58="",Pronostici!$P58=""),"",IF(Pronostici!$O58&gt;Pronostici!$P58,"1",IF(Pronostici!$O58=Pronostici!$P58,"X","2"))))</f>
        <v/>
      </c>
      <c r="N58" s="63">
        <f>IF(Pronostici!$Q58&lt;&gt;"",UPPER(Pronostici!$Q58),IF(OR(Pronostici!$R58="",Pronostici!$S58=""),"",IF(Pronostici!$R58&gt;Pronostici!$S58,"1",IF(Pronostici!$R58=Pronostici!$S58,"X","2"))))</f>
        <v/>
      </c>
    </row>
    <row r="59">
      <c r="A59" s="74">
        <f>Partite!$A59</f>
        <v/>
      </c>
      <c r="B59" s="30">
        <f>Partite!$B59</f>
        <v/>
      </c>
      <c r="C59" s="47">
        <f>IF(Partite!$E59="","",Partite!$E59&amp;"  -  "&amp;Partite!$F59)</f>
        <v/>
      </c>
      <c r="D59" s="27">
        <f>IF(Partite!$K59&lt;&gt;"Giocata","",IF(AND(Pronostici!$F59&lt;&gt;"",Pronostici!$G59&lt;&gt;"",Pronostici!$F59=Partite!$G59,Pronostici!$G59=Partite!$H59),Config!$D$6,IF(AND($J59&lt;&gt;"",$J59=Partite!$I59),Config!$D$7,Config!$D$8)))</f>
        <v/>
      </c>
      <c r="E59" s="27">
        <f>IF(Partite!$K59&lt;&gt;"Giocata","",IF(AND(Pronostici!$I59&lt;&gt;"",Pronostici!$J59&lt;&gt;"",Pronostici!$I59=Partite!$G59,Pronostici!$J59=Partite!$H59),Config!$D$6,IF(AND($K59&lt;&gt;"",$K59=Partite!$I59),Config!$D$7,Config!$D$8)))</f>
        <v/>
      </c>
      <c r="F59" s="27">
        <f>IF(Partite!$K59&lt;&gt;"Giocata","",IF(AND(Pronostici!$L59&lt;&gt;"",Pronostici!$M59&lt;&gt;"",Pronostici!$L59=Partite!$G59,Pronostici!$M59=Partite!$H59),Config!$D$6,IF(AND($L59&lt;&gt;"",$L59=Partite!$I59),Config!$D$7,Config!$D$8)))</f>
        <v/>
      </c>
      <c r="G59" s="27">
        <f>IF(Partite!$K59&lt;&gt;"Giocata","",IF(AND(Pronostici!$O59&lt;&gt;"",Pronostici!$P59&lt;&gt;"",Pronostici!$O59=Partite!$G59,Pronostici!$P59=Partite!$H59),Config!$D$6,IF(AND($M59&lt;&gt;"",$M59=Partite!$I59),Config!$D$7,Config!$D$8)))</f>
        <v/>
      </c>
      <c r="H59" s="27">
        <f>IF(Partite!$K59&lt;&gt;"Giocata","",IF(AND(Pronostici!$R59&lt;&gt;"",Pronostici!$S59&lt;&gt;"",Pronostici!$R59=Partite!$G59,Pronostici!$S59=Partite!$H59),Config!$D$6,IF(AND($N59&lt;&gt;"",$N59=Partite!$I59),Config!$D$7,Config!$D$8)))</f>
        <v/>
      </c>
      <c r="J59" s="63">
        <f>IF(Pronostici!$E59&lt;&gt;"",UPPER(Pronostici!$E59),IF(OR(Pronostici!$F59="",Pronostici!$G59=""),"",IF(Pronostici!$F59&gt;Pronostici!$G59,"1",IF(Pronostici!$F59=Pronostici!$G59,"X","2"))))</f>
        <v/>
      </c>
      <c r="K59" s="63">
        <f>IF(Pronostici!$H59&lt;&gt;"",UPPER(Pronostici!$H59),IF(OR(Pronostici!$I59="",Pronostici!$J59=""),"",IF(Pronostici!$I59&gt;Pronostici!$J59,"1",IF(Pronostici!$I59=Pronostici!$J59,"X","2"))))</f>
        <v/>
      </c>
      <c r="L59" s="63">
        <f>IF(Pronostici!$K59&lt;&gt;"",UPPER(Pronostici!$K59),IF(OR(Pronostici!$L59="",Pronostici!$M59=""),"",IF(Pronostici!$L59&gt;Pronostici!$M59,"1",IF(Pronostici!$L59=Pronostici!$M59,"X","2"))))</f>
        <v/>
      </c>
      <c r="M59" s="63">
        <f>IF(Pronostici!$N59&lt;&gt;"",UPPER(Pronostici!$N59),IF(OR(Pronostici!$O59="",Pronostici!$P59=""),"",IF(Pronostici!$O59&gt;Pronostici!$P59,"1",IF(Pronostici!$O59=Pronostici!$P59,"X","2"))))</f>
        <v/>
      </c>
      <c r="N59" s="63">
        <f>IF(Pronostici!$Q59&lt;&gt;"",UPPER(Pronostici!$Q59),IF(OR(Pronostici!$R59="",Pronostici!$S59=""),"",IF(Pronostici!$R59&gt;Pronostici!$S59,"1",IF(Pronostici!$R59=Pronostici!$S59,"X","2"))))</f>
        <v/>
      </c>
    </row>
    <row r="60">
      <c r="A60" s="74">
        <f>Partite!$A60</f>
        <v/>
      </c>
      <c r="B60" s="30">
        <f>Partite!$B60</f>
        <v/>
      </c>
      <c r="C60" s="47">
        <f>IF(Partite!$E60="","",Partite!$E60&amp;"  -  "&amp;Partite!$F60)</f>
        <v/>
      </c>
      <c r="D60" s="27">
        <f>IF(Partite!$K60&lt;&gt;"Giocata","",IF(AND(Pronostici!$F60&lt;&gt;"",Pronostici!$G60&lt;&gt;"",Pronostici!$F60=Partite!$G60,Pronostici!$G60=Partite!$H60),Config!$D$6,IF(AND($J60&lt;&gt;"",$J60=Partite!$I60),Config!$D$7,Config!$D$8)))</f>
        <v/>
      </c>
      <c r="E60" s="27">
        <f>IF(Partite!$K60&lt;&gt;"Giocata","",IF(AND(Pronostici!$I60&lt;&gt;"",Pronostici!$J60&lt;&gt;"",Pronostici!$I60=Partite!$G60,Pronostici!$J60=Partite!$H60),Config!$D$6,IF(AND($K60&lt;&gt;"",$K60=Partite!$I60),Config!$D$7,Config!$D$8)))</f>
        <v/>
      </c>
      <c r="F60" s="27">
        <f>IF(Partite!$K60&lt;&gt;"Giocata","",IF(AND(Pronostici!$L60&lt;&gt;"",Pronostici!$M60&lt;&gt;"",Pronostici!$L60=Partite!$G60,Pronostici!$M60=Partite!$H60),Config!$D$6,IF(AND($L60&lt;&gt;"",$L60=Partite!$I60),Config!$D$7,Config!$D$8)))</f>
        <v/>
      </c>
      <c r="G60" s="27">
        <f>IF(Partite!$K60&lt;&gt;"Giocata","",IF(AND(Pronostici!$O60&lt;&gt;"",Pronostici!$P60&lt;&gt;"",Pronostici!$O60=Partite!$G60,Pronostici!$P60=Partite!$H60),Config!$D$6,IF(AND($M60&lt;&gt;"",$M60=Partite!$I60),Config!$D$7,Config!$D$8)))</f>
        <v/>
      </c>
      <c r="H60" s="27">
        <f>IF(Partite!$K60&lt;&gt;"Giocata","",IF(AND(Pronostici!$R60&lt;&gt;"",Pronostici!$S60&lt;&gt;"",Pronostici!$R60=Partite!$G60,Pronostici!$S60=Partite!$H60),Config!$D$6,IF(AND($N60&lt;&gt;"",$N60=Partite!$I60),Config!$D$7,Config!$D$8)))</f>
        <v/>
      </c>
      <c r="J60" s="63">
        <f>IF(Pronostici!$E60&lt;&gt;"",UPPER(Pronostici!$E60),IF(OR(Pronostici!$F60="",Pronostici!$G60=""),"",IF(Pronostici!$F60&gt;Pronostici!$G60,"1",IF(Pronostici!$F60=Pronostici!$G60,"X","2"))))</f>
        <v/>
      </c>
      <c r="K60" s="63">
        <f>IF(Pronostici!$H60&lt;&gt;"",UPPER(Pronostici!$H60),IF(OR(Pronostici!$I60="",Pronostici!$J60=""),"",IF(Pronostici!$I60&gt;Pronostici!$J60,"1",IF(Pronostici!$I60=Pronostici!$J60,"X","2"))))</f>
        <v/>
      </c>
      <c r="L60" s="63">
        <f>IF(Pronostici!$K60&lt;&gt;"",UPPER(Pronostici!$K60),IF(OR(Pronostici!$L60="",Pronostici!$M60=""),"",IF(Pronostici!$L60&gt;Pronostici!$M60,"1",IF(Pronostici!$L60=Pronostici!$M60,"X","2"))))</f>
        <v/>
      </c>
      <c r="M60" s="63">
        <f>IF(Pronostici!$N60&lt;&gt;"",UPPER(Pronostici!$N60),IF(OR(Pronostici!$O60="",Pronostici!$P60=""),"",IF(Pronostici!$O60&gt;Pronostici!$P60,"1",IF(Pronostici!$O60=Pronostici!$P60,"X","2"))))</f>
        <v/>
      </c>
      <c r="N60" s="63">
        <f>IF(Pronostici!$Q60&lt;&gt;"",UPPER(Pronostici!$Q60),IF(OR(Pronostici!$R60="",Pronostici!$S60=""),"",IF(Pronostici!$R60&gt;Pronostici!$S60,"1",IF(Pronostici!$R60=Pronostici!$S60,"X","2"))))</f>
        <v/>
      </c>
    </row>
    <row r="61">
      <c r="A61" s="74">
        <f>Partite!$A61</f>
        <v/>
      </c>
      <c r="B61" s="30">
        <f>Partite!$B61</f>
        <v/>
      </c>
      <c r="C61" s="47">
        <f>IF(Partite!$E61="","",Partite!$E61&amp;"  -  "&amp;Partite!$F61)</f>
        <v/>
      </c>
      <c r="D61" s="27">
        <f>IF(Partite!$K61&lt;&gt;"Giocata","",IF(AND(Pronostici!$F61&lt;&gt;"",Pronostici!$G61&lt;&gt;"",Pronostici!$F61=Partite!$G61,Pronostici!$G61=Partite!$H61),Config!$D$6,IF(AND($J61&lt;&gt;"",$J61=Partite!$I61),Config!$D$7,Config!$D$8)))</f>
        <v/>
      </c>
      <c r="E61" s="27">
        <f>IF(Partite!$K61&lt;&gt;"Giocata","",IF(AND(Pronostici!$I61&lt;&gt;"",Pronostici!$J61&lt;&gt;"",Pronostici!$I61=Partite!$G61,Pronostici!$J61=Partite!$H61),Config!$D$6,IF(AND($K61&lt;&gt;"",$K61=Partite!$I61),Config!$D$7,Config!$D$8)))</f>
        <v/>
      </c>
      <c r="F61" s="27">
        <f>IF(Partite!$K61&lt;&gt;"Giocata","",IF(AND(Pronostici!$L61&lt;&gt;"",Pronostici!$M61&lt;&gt;"",Pronostici!$L61=Partite!$G61,Pronostici!$M61=Partite!$H61),Config!$D$6,IF(AND($L61&lt;&gt;"",$L61=Partite!$I61),Config!$D$7,Config!$D$8)))</f>
        <v/>
      </c>
      <c r="G61" s="27">
        <f>IF(Partite!$K61&lt;&gt;"Giocata","",IF(AND(Pronostici!$O61&lt;&gt;"",Pronostici!$P61&lt;&gt;"",Pronostici!$O61=Partite!$G61,Pronostici!$P61=Partite!$H61),Config!$D$6,IF(AND($M61&lt;&gt;"",$M61=Partite!$I61),Config!$D$7,Config!$D$8)))</f>
        <v/>
      </c>
      <c r="H61" s="27">
        <f>IF(Partite!$K61&lt;&gt;"Giocata","",IF(AND(Pronostici!$R61&lt;&gt;"",Pronostici!$S61&lt;&gt;"",Pronostici!$R61=Partite!$G61,Pronostici!$S61=Partite!$H61),Config!$D$6,IF(AND($N61&lt;&gt;"",$N61=Partite!$I61),Config!$D$7,Config!$D$8)))</f>
        <v/>
      </c>
      <c r="J61" s="63">
        <f>IF(Pronostici!$E61&lt;&gt;"",UPPER(Pronostici!$E61),IF(OR(Pronostici!$F61="",Pronostici!$G61=""),"",IF(Pronostici!$F61&gt;Pronostici!$G61,"1",IF(Pronostici!$F61=Pronostici!$G61,"X","2"))))</f>
        <v/>
      </c>
      <c r="K61" s="63">
        <f>IF(Pronostici!$H61&lt;&gt;"",UPPER(Pronostici!$H61),IF(OR(Pronostici!$I61="",Pronostici!$J61=""),"",IF(Pronostici!$I61&gt;Pronostici!$J61,"1",IF(Pronostici!$I61=Pronostici!$J61,"X","2"))))</f>
        <v/>
      </c>
      <c r="L61" s="63">
        <f>IF(Pronostici!$K61&lt;&gt;"",UPPER(Pronostici!$K61),IF(OR(Pronostici!$L61="",Pronostici!$M61=""),"",IF(Pronostici!$L61&gt;Pronostici!$M61,"1",IF(Pronostici!$L61=Pronostici!$M61,"X","2"))))</f>
        <v/>
      </c>
      <c r="M61" s="63">
        <f>IF(Pronostici!$N61&lt;&gt;"",UPPER(Pronostici!$N61),IF(OR(Pronostici!$O61="",Pronostici!$P61=""),"",IF(Pronostici!$O61&gt;Pronostici!$P61,"1",IF(Pronostici!$O61=Pronostici!$P61,"X","2"))))</f>
        <v/>
      </c>
      <c r="N61" s="63">
        <f>IF(Pronostici!$Q61&lt;&gt;"",UPPER(Pronostici!$Q61),IF(OR(Pronostici!$R61="",Pronostici!$S61=""),"",IF(Pronostici!$R61&gt;Pronostici!$S61,"1",IF(Pronostici!$R61=Pronostici!$S61,"X","2"))))</f>
        <v/>
      </c>
    </row>
    <row r="62">
      <c r="A62" s="74">
        <f>Partite!$A62</f>
        <v/>
      </c>
      <c r="B62" s="30">
        <f>Partite!$B62</f>
        <v/>
      </c>
      <c r="C62" s="47">
        <f>IF(Partite!$E62="","",Partite!$E62&amp;"  -  "&amp;Partite!$F62)</f>
        <v/>
      </c>
      <c r="D62" s="27">
        <f>IF(Partite!$K62&lt;&gt;"Giocata","",IF(AND(Pronostici!$F62&lt;&gt;"",Pronostici!$G62&lt;&gt;"",Pronostici!$F62=Partite!$G62,Pronostici!$G62=Partite!$H62),Config!$D$6,IF(AND($J62&lt;&gt;"",$J62=Partite!$I62),Config!$D$7,Config!$D$8)))</f>
        <v/>
      </c>
      <c r="E62" s="27">
        <f>IF(Partite!$K62&lt;&gt;"Giocata","",IF(AND(Pronostici!$I62&lt;&gt;"",Pronostici!$J62&lt;&gt;"",Pronostici!$I62=Partite!$G62,Pronostici!$J62=Partite!$H62),Config!$D$6,IF(AND($K62&lt;&gt;"",$K62=Partite!$I62),Config!$D$7,Config!$D$8)))</f>
        <v/>
      </c>
      <c r="F62" s="27">
        <f>IF(Partite!$K62&lt;&gt;"Giocata","",IF(AND(Pronostici!$L62&lt;&gt;"",Pronostici!$M62&lt;&gt;"",Pronostici!$L62=Partite!$G62,Pronostici!$M62=Partite!$H62),Config!$D$6,IF(AND($L62&lt;&gt;"",$L62=Partite!$I62),Config!$D$7,Config!$D$8)))</f>
        <v/>
      </c>
      <c r="G62" s="27">
        <f>IF(Partite!$K62&lt;&gt;"Giocata","",IF(AND(Pronostici!$O62&lt;&gt;"",Pronostici!$P62&lt;&gt;"",Pronostici!$O62=Partite!$G62,Pronostici!$P62=Partite!$H62),Config!$D$6,IF(AND($M62&lt;&gt;"",$M62=Partite!$I62),Config!$D$7,Config!$D$8)))</f>
        <v/>
      </c>
      <c r="H62" s="27">
        <f>IF(Partite!$K62&lt;&gt;"Giocata","",IF(AND(Pronostici!$R62&lt;&gt;"",Pronostici!$S62&lt;&gt;"",Pronostici!$R62=Partite!$G62,Pronostici!$S62=Partite!$H62),Config!$D$6,IF(AND($N62&lt;&gt;"",$N62=Partite!$I62),Config!$D$7,Config!$D$8)))</f>
        <v/>
      </c>
      <c r="J62" s="63">
        <f>IF(Pronostici!$E62&lt;&gt;"",UPPER(Pronostici!$E62),IF(OR(Pronostici!$F62="",Pronostici!$G62=""),"",IF(Pronostici!$F62&gt;Pronostici!$G62,"1",IF(Pronostici!$F62=Pronostici!$G62,"X","2"))))</f>
        <v/>
      </c>
      <c r="K62" s="63">
        <f>IF(Pronostici!$H62&lt;&gt;"",UPPER(Pronostici!$H62),IF(OR(Pronostici!$I62="",Pronostici!$J62=""),"",IF(Pronostici!$I62&gt;Pronostici!$J62,"1",IF(Pronostici!$I62=Pronostici!$J62,"X","2"))))</f>
        <v/>
      </c>
      <c r="L62" s="63">
        <f>IF(Pronostici!$K62&lt;&gt;"",UPPER(Pronostici!$K62),IF(OR(Pronostici!$L62="",Pronostici!$M62=""),"",IF(Pronostici!$L62&gt;Pronostici!$M62,"1",IF(Pronostici!$L62=Pronostici!$M62,"X","2"))))</f>
        <v/>
      </c>
      <c r="M62" s="63">
        <f>IF(Pronostici!$N62&lt;&gt;"",UPPER(Pronostici!$N62),IF(OR(Pronostici!$O62="",Pronostici!$P62=""),"",IF(Pronostici!$O62&gt;Pronostici!$P62,"1",IF(Pronostici!$O62=Pronostici!$P62,"X","2"))))</f>
        <v/>
      </c>
      <c r="N62" s="63">
        <f>IF(Pronostici!$Q62&lt;&gt;"",UPPER(Pronostici!$Q62),IF(OR(Pronostici!$R62="",Pronostici!$S62=""),"",IF(Pronostici!$R62&gt;Pronostici!$S62,"1",IF(Pronostici!$R62=Pronostici!$S62,"X","2"))))</f>
        <v/>
      </c>
    </row>
  </sheetData>
  <mergeCells count="1">
    <mergeCell ref="A1:H1"/>
  </mergeCells>
  <conditionalFormatting sqref="D3:D62">
    <cfRule type="cellIs" priority="1" operator="greaterThanOrEqual" dxfId="0">
      <formula>3</formula>
    </cfRule>
    <cfRule type="cellIs" priority="2" operator="equal" dxfId="1">
      <formula>1</formula>
    </cfRule>
  </conditionalFormatting>
  <conditionalFormatting sqref="E3:E62">
    <cfRule type="cellIs" priority="3" operator="greaterThanOrEqual" dxfId="0">
      <formula>3</formula>
    </cfRule>
    <cfRule type="cellIs" priority="4" operator="equal" dxfId="1">
      <formula>1</formula>
    </cfRule>
  </conditionalFormatting>
  <conditionalFormatting sqref="F3:F62">
    <cfRule type="cellIs" priority="5" operator="greaterThanOrEqual" dxfId="0">
      <formula>3</formula>
    </cfRule>
    <cfRule type="cellIs" priority="6" operator="equal" dxfId="1">
      <formula>1</formula>
    </cfRule>
  </conditionalFormatting>
  <conditionalFormatting sqref="G3:G62">
    <cfRule type="cellIs" priority="7" operator="greaterThanOrEqual" dxfId="0">
      <formula>3</formula>
    </cfRule>
    <cfRule type="cellIs" priority="8" operator="equal" dxfId="1">
      <formula>1</formula>
    </cfRule>
  </conditionalFormatting>
  <conditionalFormatting sqref="H3:H6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2026-09-20T20:49:43Z</dcterms:created>
  <dcterms:modified xsi:type="dcterms:W3CDTF">2026-09-20T20:49:43Z</dcterms:modified>
</cp:coreProperties>
</file>