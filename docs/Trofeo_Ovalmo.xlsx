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'Partite'!$A$2:$K$82</definedName>
    <definedName name="_xlnm._FilterDatabase" localSheetId="2" hidden="1">'Pronostici'!$A$2:$D$82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'Classifica'!$A$33:$A$40</f>
            </numRef>
          </cat>
          <val>
            <numRef>
              <f>'Classifica'!$R$33:$R$40</f>
            </numRef>
          </val>
          <smooth val="0"/>
        </ser>
        <ser>
          <idx val="1"/>
          <order val="1"/>
          <tx>
            <strRef>
              <f>'Classifica'!S32</f>
            </strRef>
          </tx>
          <spPr>
            <a:ln w="22000">
              <a:solidFill>
                <a:srgbClr val="3E8E5A"/>
              </a:solidFill>
              <a:prstDash val="solid"/>
            </a:ln>
          </spPr>
          <marker>
            <symbol val="circle"/>
            <size val="6"/>
            <spPr>
              <a:ln>
                <a:prstDash val="solid"/>
              </a:ln>
            </spPr>
          </marker>
          <cat>
            <numRef>
              <f>'Classifica'!$A$33:$A$40</f>
            </numRef>
          </cat>
          <val>
            <numRef>
              <f>'Classifica'!$S$33:$S$40</f>
            </numRef>
          </val>
          <smooth val="0"/>
        </ser>
        <ser>
          <idx val="2"/>
          <order val="2"/>
          <tx>
            <strRef>
              <f>'Classifica'!T32</f>
            </strRef>
          </tx>
          <spPr>
            <a:ln w="22000">
              <a:solidFill>
                <a:srgbClr val="C2622F"/>
              </a:solidFill>
              <a:prstDash val="solid"/>
            </a:ln>
          </spPr>
          <marker>
            <symbol val="circle"/>
            <size val="6"/>
            <spPr>
              <a:ln>
                <a:prstDash val="solid"/>
              </a:ln>
            </spPr>
          </marker>
          <cat>
            <numRef>
              <f>'Classifica'!$A$33:$A$40</f>
            </numRef>
          </cat>
          <val>
            <numRef>
              <f>'Classifica'!$T$33:$T$40</f>
            </numRef>
          </val>
          <smooth val="0"/>
        </ser>
        <ser>
          <idx val="3"/>
          <order val="3"/>
          <tx>
            <strRef>
              <f>'Classifica'!U32</f>
            </strRef>
          </tx>
          <spPr>
            <a:ln w="22000">
              <a:solidFill>
                <a:srgbClr val="6A56A8"/>
              </a:solidFill>
              <a:prstDash val="solid"/>
            </a:ln>
          </spPr>
          <marker>
            <symbol val="circle"/>
            <size val="6"/>
            <spPr>
              <a:ln>
                <a:prstDash val="solid"/>
              </a:ln>
            </spPr>
          </marker>
          <cat>
            <numRef>
              <f>'Classifica'!$A$33:$A$40</f>
            </numRef>
          </cat>
          <val>
            <numRef>
              <f>'Classifica'!$U$33:$U$40</f>
            </numRef>
          </val>
          <smooth val="0"/>
        </ser>
        <ser>
          <idx val="4"/>
          <order val="4"/>
          <tx>
            <strRef>
              <f>'Classifica'!V32</f>
            </strRef>
          </tx>
          <spPr>
            <a:ln w="22000">
              <a:solidFill>
                <a:srgbClr val="B08A1E"/>
              </a:solidFill>
              <a:prstDash val="solid"/>
            </a:ln>
          </spPr>
          <marker>
            <symbol val="circle"/>
            <size val="6"/>
            <spPr>
              <a:ln>
                <a:prstDash val="solid"/>
              </a:ln>
            </spPr>
          </marker>
          <cat>
            <numRef>
              <f>'Classifica'!$A$33:$A$40</f>
            </numRef>
          </cat>
          <val>
            <numRef>
              <f>'Classifica'!$V$33:$V$40</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42</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40"/>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COUNTIF($B$33:$B$40,"Completata")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COUNTIF($B$33:$B$40,"Completata")+COUNTIF($B$33:$B$40,"In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IF($L$5=0,"-",SUMPRODUCT(MAX(($B$33:$B$40="Completata")*$A$33:$A$40)))</f>
        <v/>
      </c>
    </row>
    <row r="8">
      <c r="K8" s="12" t="inlineStr">
        <is>
          <t>Prossima da giocare</t>
        </is>
      </c>
      <c r="L8" s="13">
        <f>IF(SUMPRODUCT(MIN(($B$33:$B$40&lt;&gt;"Completata")*$A$33:$A$40+($B$33:$B$40="Completata")*999))&gt;=999,"-",SUMPRODUCT(MIN(($B$33:$B$40&lt;&gt;"Completata")*$A$33:$A$40+($B$33:$B$40="Completata")*999)))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SUM(Punti!$D$3:$D$82)</f>
        <v/>
      </c>
      <c r="D12" s="25">
        <f>COUNTIF(Punti!$D$3:$D$82,Config!$D$7)+COUNTIF(Punti!$D$3:$D$82,Config!$D$6)</f>
        <v/>
      </c>
      <c r="E12" s="25">
        <f>COUNTIF(Punti!$D$3:$D$82,Config!$D$6)</f>
        <v/>
      </c>
      <c r="F12" s="25">
        <f>SUMPRODUCT(((Pronostici!$E$3:$E$82&lt;&gt;"")+(Pronostici!$F$3:$F$82&lt;&gt;""))*1&gt;0)</f>
        <v/>
      </c>
      <c r="G12" s="26">
        <f>IF($L$6=0,0,$C12/$L$6)</f>
        <v/>
      </c>
      <c r="H12" s="25">
        <f>SUMPRODUCT(($C$33:$C$40=$H$33:$H$40)*($H$33:$H$40&gt;0)*($B$33:$B$40="Completata"))</f>
        <v/>
      </c>
    </row>
    <row r="13" ht="20" customHeight="1">
      <c r="A13" s="27">
        <f>SUMPRODUCT((($C$12:$C$16*1000+$E$12:$E$16)&gt;($C13*1000+$E13))*1)+1</f>
        <v/>
      </c>
      <c r="B13" s="28">
        <f>Config!$A$7</f>
        <v/>
      </c>
      <c r="C13" s="29">
        <f>SUM(Punti!$E$3:$E$82)</f>
        <v/>
      </c>
      <c r="D13" s="30">
        <f>COUNTIF(Punti!$E$3:$E$82,Config!$D$7)+COUNTIF(Punti!$E$3:$E$82,Config!$D$6)</f>
        <v/>
      </c>
      <c r="E13" s="30">
        <f>COUNTIF(Punti!$E$3:$E$82,Config!$D$6)</f>
        <v/>
      </c>
      <c r="F13" s="30">
        <f>SUMPRODUCT(((Pronostici!$H$3:$H$82&lt;&gt;"")+(Pronostici!$I$3:$I$82&lt;&gt;""))*1&gt;0)</f>
        <v/>
      </c>
      <c r="G13" s="31">
        <f>IF($L$6=0,0,$C13/$L$6)</f>
        <v/>
      </c>
      <c r="H13" s="30">
        <f>SUMPRODUCT(($D$33:$D$40=$H$33:$H$40)*($H$33:$H$40&gt;0)*($B$33:$B$40="Completata"))</f>
        <v/>
      </c>
    </row>
    <row r="14" ht="20" customHeight="1">
      <c r="A14" s="22">
        <f>SUMPRODUCT((($C$12:$C$16*1000+$E$12:$E$16)&gt;($C14*1000+$E14))*1)+1</f>
        <v/>
      </c>
      <c r="B14" s="32">
        <f>Config!$A$8</f>
        <v/>
      </c>
      <c r="C14" s="24">
        <f>SUM(Punti!$F$3:$F$82)</f>
        <v/>
      </c>
      <c r="D14" s="25">
        <f>COUNTIF(Punti!$F$3:$F$82,Config!$D$7)+COUNTIF(Punti!$F$3:$F$82,Config!$D$6)</f>
        <v/>
      </c>
      <c r="E14" s="25">
        <f>COUNTIF(Punti!$F$3:$F$82,Config!$D$6)</f>
        <v/>
      </c>
      <c r="F14" s="25">
        <f>SUMPRODUCT(((Pronostici!$K$3:$K$82&lt;&gt;"")+(Pronostici!$L$3:$L$82&lt;&gt;""))*1&gt;0)</f>
        <v/>
      </c>
      <c r="G14" s="26">
        <f>IF($L$6=0,0,$C14/$L$6)</f>
        <v/>
      </c>
      <c r="H14" s="25">
        <f>SUMPRODUCT(($E$33:$E$40=$H$33:$H$40)*($H$33:$H$40&gt;0)*($B$33:$B$40="Completata"))</f>
        <v/>
      </c>
    </row>
    <row r="15" ht="20" customHeight="1">
      <c r="A15" s="27">
        <f>SUMPRODUCT((($C$12:$C$16*1000+$E$12:$E$16)&gt;($C15*1000+$E15))*1)+1</f>
        <v/>
      </c>
      <c r="B15" s="33">
        <f>Config!$A$9</f>
        <v/>
      </c>
      <c r="C15" s="29">
        <f>SUM(Punti!$G$3:$G$82)</f>
        <v/>
      </c>
      <c r="D15" s="30">
        <f>COUNTIF(Punti!$G$3:$G$82,Config!$D$7)+COUNTIF(Punti!$G$3:$G$82,Config!$D$6)</f>
        <v/>
      </c>
      <c r="E15" s="30">
        <f>COUNTIF(Punti!$G$3:$G$82,Config!$D$6)</f>
        <v/>
      </c>
      <c r="F15" s="30">
        <f>SUMPRODUCT(((Pronostici!$N$3:$N$82&lt;&gt;"")+(Pronostici!$O$3:$O$82&lt;&gt;""))*1&gt;0)</f>
        <v/>
      </c>
      <c r="G15" s="31">
        <f>IF($L$6=0,0,$C15/$L$6)</f>
        <v/>
      </c>
      <c r="H15" s="30">
        <f>SUMPRODUCT(($F$33:$F$40=$H$33:$H$40)*($H$33:$H$40&gt;0)*($B$33:$B$40="Completata"))</f>
        <v/>
      </c>
    </row>
    <row r="16" ht="20" customHeight="1">
      <c r="A16" s="22">
        <f>SUMPRODUCT((($C$12:$C$16*1000+$E$12:$E$16)&gt;($C16*1000+$E16))*1)+1</f>
        <v/>
      </c>
      <c r="B16" s="34">
        <f>Config!$A$10</f>
        <v/>
      </c>
      <c r="C16" s="24">
        <f>SUM(Punti!$H$3:$H$82)</f>
        <v/>
      </c>
      <c r="D16" s="25">
        <f>COUNTIF(Punti!$H$3:$H$82,Config!$D$7)+COUNTIF(Punti!$H$3:$H$82,Config!$D$6)</f>
        <v/>
      </c>
      <c r="E16" s="25">
        <f>COUNTIF(Punti!$H$3:$H$82,Config!$D$6)</f>
        <v/>
      </c>
      <c r="F16" s="25">
        <f>SUMPRODUCT(((Pronostici!$Q$3:$Q$82&lt;&gt;"")+(Pronostici!$R$3:$R$82&lt;&gt;""))*1&gt;0)</f>
        <v/>
      </c>
      <c r="G16" s="26">
        <f>IF($L$6=0,0,$C16/$L$6)</f>
        <v/>
      </c>
      <c r="H16" s="25">
        <f>SUMPRODUCT(($G$33:$G$40=$H$33:$H$40)*($H$33:$H$40&gt;0)*($B$33:$B$40="Completata"))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IF($L$7="-","-",IFERROR(INDEX($C$33:$C$40,MATCH($L$7,$A$33:$A$40,0)),"-"))</f>
        <v/>
      </c>
      <c r="D20" s="40">
        <f>IF($L$7="-","",IF(IFERROR(INDEX($C$33:$C$40,MATCH($L$7,$A$33:$A$40,0)),0)=IFERROR(INDEX($H$33:$H$40,MATCH($L$7,$A$33:$A$40,0)),-1),"RE DELLA GIORNATA",""))</f>
        <v/>
      </c>
      <c r="E20" s="41" t="n"/>
      <c r="K20" s="42">
        <f>IFERROR(INDEX(Partite!$E$3:$E$82,MATCH("G"&amp;TEXT($L$8,"00")&amp;"-"&amp;TEXT(1,"00"),Partite!$A$3:$A$82,0))&amp;"   -   "&amp;INDEX(Partite!$F$3:$F$82,MATCH("G"&amp;TEXT($L$8,"00")&amp;"-"&amp;TEXT(1,"00"),Partite!$A$3:$A$82,0)),"-")</f>
        <v/>
      </c>
      <c r="L20" s="43" t="n"/>
      <c r="M20" s="43" t="n"/>
      <c r="N20" s="44">
        <f>Config!$A$6</f>
        <v/>
      </c>
      <c r="O20" s="45">
        <f>IF($L$8="-","-",SUMPRODUCT((Pronostici!$B$3:$B$82=$L$8)*(((Pronostici!$E$3:$E$82&lt;&gt;"")+(Pronostici!$F$3:$F$82&lt;&gt;""))&gt;0))&amp;"/10")</f>
        <v/>
      </c>
    </row>
    <row r="21">
      <c r="B21" s="28">
        <f>Config!$A$7</f>
        <v/>
      </c>
      <c r="C21" s="24">
        <f>IF($L$7="-","-",IFERROR(INDEX($D$33:$D$40,MATCH($L$7,$A$33:$A$40,0)),"-"))</f>
        <v/>
      </c>
      <c r="D21" s="40">
        <f>IF($L$7="-","",IF(IFERROR(INDEX($D$33:$D$40,MATCH($L$7,$A$33:$A$40,0)),0)=IFERROR(INDEX($H$33:$H$40,MATCH($L$7,$A$33:$A$40,0)),-1),"RE DELLA GIORNATA",""))</f>
        <v/>
      </c>
      <c r="E21" s="41" t="n"/>
      <c r="K21" s="46">
        <f>IFERROR(INDEX(Partite!$E$3:$E$82,MATCH("G"&amp;TEXT($L$8,"00")&amp;"-"&amp;TEXT(2,"00"),Partite!$A$3:$A$82,0))&amp;"   -   "&amp;INDEX(Partite!$F$3:$F$82,MATCH("G"&amp;TEXT($L$8,"00")&amp;"-"&amp;TEXT(2,"00"),Partite!$A$3:$A$82,0)),"-")</f>
        <v/>
      </c>
      <c r="L21" s="47" t="n"/>
      <c r="M21" s="47" t="n"/>
      <c r="N21" s="48">
        <f>Config!$A$7</f>
        <v/>
      </c>
      <c r="O21" s="45">
        <f>IF($L$8="-","-",SUMPRODUCT((Pronostici!$B$3:$B$82=$L$8)*(((Pronostici!$H$3:$H$82&lt;&gt;"")+(Pronostici!$I$3:$I$82&lt;&gt;""))&gt;0))&amp;"/10")</f>
        <v/>
      </c>
    </row>
    <row r="22">
      <c r="B22" s="32">
        <f>Config!$A$8</f>
        <v/>
      </c>
      <c r="C22" s="24">
        <f>IF($L$7="-","-",IFERROR(INDEX($E$33:$E$40,MATCH($L$7,$A$33:$A$40,0)),"-"))</f>
        <v/>
      </c>
      <c r="D22" s="40">
        <f>IF($L$7="-","",IF(IFERROR(INDEX($E$33:$E$40,MATCH($L$7,$A$33:$A$40,0)),0)=IFERROR(INDEX($H$33:$H$40,MATCH($L$7,$A$33:$A$40,0)),-1),"RE DELLA GIORNATA",""))</f>
        <v/>
      </c>
      <c r="E22" s="41" t="n"/>
      <c r="K22" s="42">
        <f>IFERROR(INDEX(Partite!$E$3:$E$82,MATCH("G"&amp;TEXT($L$8,"00")&amp;"-"&amp;TEXT(3,"00"),Partite!$A$3:$A$82,0))&amp;"   -   "&amp;INDEX(Partite!$F$3:$F$82,MATCH("G"&amp;TEXT($L$8,"00")&amp;"-"&amp;TEXT(3,"00"),Partite!$A$3:$A$82,0)),"-")</f>
        <v/>
      </c>
      <c r="L22" s="43" t="n"/>
      <c r="M22" s="43" t="n"/>
      <c r="N22" s="49">
        <f>Config!$A$8</f>
        <v/>
      </c>
      <c r="O22" s="45">
        <f>IF($L$8="-","-",SUMPRODUCT((Pronostici!$B$3:$B$82=$L$8)*(((Pronostici!$K$3:$K$82&lt;&gt;"")+(Pronostici!$L$3:$L$82&lt;&gt;""))&gt;0))&amp;"/10")</f>
        <v/>
      </c>
    </row>
    <row r="23">
      <c r="B23" s="33">
        <f>Config!$A$9</f>
        <v/>
      </c>
      <c r="C23" s="24">
        <f>IF($L$7="-","-",IFERROR(INDEX($F$33:$F$40,MATCH($L$7,$A$33:$A$40,0)),"-"))</f>
        <v/>
      </c>
      <c r="D23" s="40">
        <f>IF($L$7="-","",IF(IFERROR(INDEX($F$33:$F$40,MATCH($L$7,$A$33:$A$40,0)),0)=IFERROR(INDEX($H$33:$H$40,MATCH($L$7,$A$33:$A$40,0)),-1),"RE DELLA GIORNATA",""))</f>
        <v/>
      </c>
      <c r="E23" s="41" t="n"/>
      <c r="K23" s="46">
        <f>IFERROR(INDEX(Partite!$E$3:$E$82,MATCH("G"&amp;TEXT($L$8,"00")&amp;"-"&amp;TEXT(4,"00"),Partite!$A$3:$A$82,0))&amp;"   -   "&amp;INDEX(Partite!$F$3:$F$82,MATCH("G"&amp;TEXT($L$8,"00")&amp;"-"&amp;TEXT(4,"00"),Partite!$A$3:$A$82,0)),"-")</f>
        <v/>
      </c>
      <c r="L23" s="47" t="n"/>
      <c r="M23" s="47" t="n"/>
      <c r="N23" s="50">
        <f>Config!$A$9</f>
        <v/>
      </c>
      <c r="O23" s="45">
        <f>IF($L$8="-","-",SUMPRODUCT((Pronostici!$B$3:$B$82=$L$8)*(((Pronostici!$N$3:$N$82&lt;&gt;"")+(Pronostici!$O$3:$O$82&lt;&gt;""))&gt;0))&amp;"/10")</f>
        <v/>
      </c>
    </row>
    <row r="24">
      <c r="B24" s="34">
        <f>Config!$A$10</f>
        <v/>
      </c>
      <c r="C24" s="24">
        <f>IF($L$7="-","-",IFERROR(INDEX($G$33:$G$40,MATCH($L$7,$A$33:$A$40,0)),"-"))</f>
        <v/>
      </c>
      <c r="D24" s="40">
        <f>IF($L$7="-","",IF(IFERROR(INDEX($G$33:$G$40,MATCH($L$7,$A$33:$A$40,0)),0)=IFERROR(INDEX($H$33:$H$40,MATCH($L$7,$A$33:$A$40,0)),-1),"RE DELLA GIORNATA",""))</f>
        <v/>
      </c>
      <c r="E24" s="41" t="n"/>
      <c r="K24" s="42">
        <f>IFERROR(INDEX(Partite!$E$3:$E$82,MATCH("G"&amp;TEXT($L$8,"00")&amp;"-"&amp;TEXT(5,"00"),Partite!$A$3:$A$82,0))&amp;"   -   "&amp;INDEX(Partite!$F$3:$F$82,MATCH("G"&amp;TEXT($L$8,"00")&amp;"-"&amp;TEXT(5,"00"),Partite!$A$3:$A$82,0)),"-")</f>
        <v/>
      </c>
      <c r="L24" s="43" t="n"/>
      <c r="M24" s="43" t="n"/>
      <c r="N24" s="51">
        <f>Config!$A$10</f>
        <v/>
      </c>
      <c r="O24" s="45">
        <f>IF($L$8="-","-",SUMPRODUCT((Pronostici!$B$3:$B$82=$L$8)*(((Pronostici!$Q$3:$Q$82&lt;&gt;"")+(Pronostici!$R$3:$R$82&lt;&gt;""))&gt;0))&amp;"/10")</f>
        <v/>
      </c>
    </row>
    <row r="25">
      <c r="K25" s="46">
        <f>IFERROR(INDEX(Partite!$E$3:$E$82,MATCH("G"&amp;TEXT($L$8,"00")&amp;"-"&amp;TEXT(6,"00"),Partite!$A$3:$A$82,0))&amp;"   -   "&amp;INDEX(Partite!$F$3:$F$82,MATCH("G"&amp;TEXT($L$8,"00")&amp;"-"&amp;TEXT(6,"00"),Partite!$A$3:$A$82,0)),"-")</f>
        <v/>
      </c>
      <c r="L25" s="47" t="n"/>
      <c r="M25" s="47" t="n"/>
      <c r="N25" s="35" t="inlineStr">
        <is>
          <t>chi e' sotto 10 non ha finito</t>
        </is>
      </c>
    </row>
    <row r="26">
      <c r="K26" s="42">
        <f>IFERROR(INDEX(Partite!$E$3:$E$82,MATCH("G"&amp;TEXT($L$8,"00")&amp;"-"&amp;TEXT(7,"00"),Partite!$A$3:$A$82,0))&amp;"   -   "&amp;INDEX(Partite!$F$3:$F$82,MATCH("G"&amp;TEXT($L$8,"00")&amp;"-"&amp;TEXT(7,"00"),Partite!$A$3:$A$82,0)),"-")</f>
        <v/>
      </c>
      <c r="L26" s="43" t="n"/>
      <c r="M26" s="43" t="n"/>
    </row>
    <row r="27">
      <c r="K27" s="46">
        <f>IFERROR(INDEX(Partite!$E$3:$E$82,MATCH("G"&amp;TEXT($L$8,"00")&amp;"-"&amp;TEXT(8,"00"),Partite!$A$3:$A$82,0))&amp;"   -   "&amp;INDEX(Partite!$F$3:$F$82,MATCH("G"&amp;TEXT($L$8,"00")&amp;"-"&amp;TEXT(8,"00"),Partite!$A$3:$A$82,0)),"-")</f>
        <v/>
      </c>
      <c r="L27" s="47" t="n"/>
      <c r="M27" s="47" t="n"/>
    </row>
    <row r="28">
      <c r="K28" s="42">
        <f>IFERROR(INDEX(Partite!$E$3:$E$82,MATCH("G"&amp;TEXT($L$8,"00")&amp;"-"&amp;TEXT(9,"00"),Partite!$A$3:$A$82,0))&amp;"   -   "&amp;INDEX(Partite!$F$3:$F$82,MATCH("G"&amp;TEXT($L$8,"00")&amp;"-"&amp;TEXT(9,"00"),Partite!$A$3:$A$82,0)),"-")</f>
        <v/>
      </c>
      <c r="L28" s="43" t="n"/>
      <c r="M28" s="43" t="n"/>
    </row>
    <row r="29">
      <c r="K29" s="46">
        <f>IFERROR(INDEX(Partite!$E$3:$E$82,MATCH("G"&amp;TEXT($L$8,"00")&amp;"-"&amp;TEXT(10,"00"),Partite!$A$3:$A$82,0))&amp;"   -   "&amp;INDEX(Partite!$F$3:$F$82,MATCH("G"&amp;TEXT($L$8,"00")&amp;"-"&amp;TEXT(10,"00"),Partite!$A$3:$A$82,0)),"-")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IF(COUNTIFS(Partite!$B$3:$B$82,$A33,Partite!$E$3:$E$82,"&lt;&gt;")=0,"Calendario mancante",IF(COUNTIFS(Partite!$B$3:$B$82,$A33,Partite!$K$3:$K$82,"Giocata")=0,"Non giocata",IF(COUNTIFS(Partite!$B$3:$B$82,$A33,Partite!$K$3:$K$82,"Giocata")=COUNTIFS(Partite!$B$3:$B$82,$A33,Partite!$E$3:$E$82,"&lt;&gt;"),"Completata","In corso")))</f>
        <v/>
      </c>
      <c r="C33" s="25">
        <f>SUMIF(Punti!$B$3:$B$82,$A33,Punti!$D$3:$D$82)</f>
        <v/>
      </c>
      <c r="D33" s="25">
        <f>SUMIF(Punti!$B$3:$B$82,$A33,Punti!$E$3:$E$82)</f>
        <v/>
      </c>
      <c r="E33" s="25">
        <f>SUMIF(Punti!$B$3:$B$82,$A33,Punti!$F$3:$F$82)</f>
        <v/>
      </c>
      <c r="F33" s="25">
        <f>SUMIF(Punti!$B$3:$B$82,$A33,Punti!$G$3:$G$82)</f>
        <v/>
      </c>
      <c r="G33" s="25">
        <f>SUMIF(Punti!$B$3:$B$82,$A33,Punti!$H$3:$H$82)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IF(COUNTIFS(Partite!$B$3:$B$82,$A34,Partite!$E$3:$E$82,"&lt;&gt;")=0,"Calendario mancante",IF(COUNTIFS(Partite!$B$3:$B$82,$A34,Partite!$K$3:$K$82,"Giocata")=0,"Non giocata",IF(COUNTIFS(Partite!$B$3:$B$82,$A34,Partite!$K$3:$K$82,"Giocata")=COUNTIFS(Partite!$B$3:$B$82,$A34,Partite!$E$3:$E$82,"&lt;&gt;"),"Completata","In corso")))</f>
        <v/>
      </c>
      <c r="C34" s="30">
        <f>SUMIF(Punti!$B$3:$B$82,$A34,Punti!$D$3:$D$82)</f>
        <v/>
      </c>
      <c r="D34" s="30">
        <f>SUMIF(Punti!$B$3:$B$82,$A34,Punti!$E$3:$E$82)</f>
        <v/>
      </c>
      <c r="E34" s="30">
        <f>SUMIF(Punti!$B$3:$B$82,$A34,Punti!$F$3:$F$82)</f>
        <v/>
      </c>
      <c r="F34" s="30">
        <f>SUMIF(Punti!$B$3:$B$82,$A34,Punti!$G$3:$G$82)</f>
        <v/>
      </c>
      <c r="G34" s="30">
        <f>SUMIF(Punti!$B$3:$B$82,$A34,Punti!$H$3:$H$82)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IF(COUNTIFS(Partite!$B$3:$B$82,$A35,Partite!$E$3:$E$82,"&lt;&gt;")=0,"Calendario mancante",IF(COUNTIFS(Partite!$B$3:$B$82,$A35,Partite!$K$3:$K$82,"Giocata")=0,"Non giocata",IF(COUNTIFS(Partite!$B$3:$B$82,$A35,Partite!$K$3:$K$82,"Giocata")=COUNTIFS(Partite!$B$3:$B$82,$A35,Partite!$E$3:$E$82,"&lt;&gt;"),"Completata","In corso")))</f>
        <v/>
      </c>
      <c r="C35" s="25">
        <f>SUMIF(Punti!$B$3:$B$82,$A35,Punti!$D$3:$D$82)</f>
        <v/>
      </c>
      <c r="D35" s="25">
        <f>SUMIF(Punti!$B$3:$B$82,$A35,Punti!$E$3:$E$82)</f>
        <v/>
      </c>
      <c r="E35" s="25">
        <f>SUMIF(Punti!$B$3:$B$82,$A35,Punti!$F$3:$F$82)</f>
        <v/>
      </c>
      <c r="F35" s="25">
        <f>SUMIF(Punti!$B$3:$B$82,$A35,Punti!$G$3:$G$82)</f>
        <v/>
      </c>
      <c r="G35" s="25">
        <f>SUMIF(Punti!$B$3:$B$82,$A35,Punti!$H$3:$H$82)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IF(COUNTIFS(Partite!$B$3:$B$82,$A36,Partite!$E$3:$E$82,"&lt;&gt;")=0,"Calendario mancante",IF(COUNTIFS(Partite!$B$3:$B$82,$A36,Partite!$K$3:$K$82,"Giocata")=0,"Non giocata",IF(COUNTIFS(Partite!$B$3:$B$82,$A36,Partite!$K$3:$K$82,"Giocata")=COUNTIFS(Partite!$B$3:$B$82,$A36,Partite!$E$3:$E$82,"&lt;&gt;"),"Completata","In corso")))</f>
        <v/>
      </c>
      <c r="C36" s="30">
        <f>SUMIF(Punti!$B$3:$B$82,$A36,Punti!$D$3:$D$82)</f>
        <v/>
      </c>
      <c r="D36" s="30">
        <f>SUMIF(Punti!$B$3:$B$82,$A36,Punti!$E$3:$E$82)</f>
        <v/>
      </c>
      <c r="E36" s="30">
        <f>SUMIF(Punti!$B$3:$B$82,$A36,Punti!$F$3:$F$82)</f>
        <v/>
      </c>
      <c r="F36" s="30">
        <f>SUMIF(Punti!$B$3:$B$82,$A36,Punti!$G$3:$G$82)</f>
        <v/>
      </c>
      <c r="G36" s="30">
        <f>SUMIF(Punti!$B$3:$B$82,$A36,Punti!$H$3:$H$82)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IF(COUNTIFS(Partite!$B$3:$B$82,$A37,Partite!$E$3:$E$82,"&lt;&gt;")=0,"Calendario mancante",IF(COUNTIFS(Partite!$B$3:$B$82,$A37,Partite!$K$3:$K$82,"Giocata")=0,"Non giocata",IF(COUNTIFS(Partite!$B$3:$B$82,$A37,Partite!$K$3:$K$82,"Giocata")=COUNTIFS(Partite!$B$3:$B$82,$A37,Partite!$E$3:$E$82,"&lt;&gt;"),"Completata","In corso")))</f>
        <v/>
      </c>
      <c r="C37" s="25">
        <f>SUMIF(Punti!$B$3:$B$82,$A37,Punti!$D$3:$D$82)</f>
        <v/>
      </c>
      <c r="D37" s="25">
        <f>SUMIF(Punti!$B$3:$B$82,$A37,Punti!$E$3:$E$82)</f>
        <v/>
      </c>
      <c r="E37" s="25">
        <f>SUMIF(Punti!$B$3:$B$82,$A37,Punti!$F$3:$F$82)</f>
        <v/>
      </c>
      <c r="F37" s="25">
        <f>SUMIF(Punti!$B$3:$B$82,$A37,Punti!$G$3:$G$82)</f>
        <v/>
      </c>
      <c r="G37" s="25">
        <f>SUMIF(Punti!$B$3:$B$82,$A37,Punti!$H$3:$H$82)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IF(COUNTIFS(Partite!$B$3:$B$82,$A38,Partite!$E$3:$E$82,"&lt;&gt;")=0,"Calendario mancante",IF(COUNTIFS(Partite!$B$3:$B$82,$A38,Partite!$K$3:$K$82,"Giocata")=0,"Non giocata",IF(COUNTIFS(Partite!$B$3:$B$82,$A38,Partite!$K$3:$K$82,"Giocata")=COUNTIFS(Partite!$B$3:$B$82,$A38,Partite!$E$3:$E$82,"&lt;&gt;"),"Completata","In corso")))</f>
        <v/>
      </c>
      <c r="C38" s="30">
        <f>SUMIF(Punti!$B$3:$B$82,$A38,Punti!$D$3:$D$82)</f>
        <v/>
      </c>
      <c r="D38" s="30">
        <f>SUMIF(Punti!$B$3:$B$82,$A38,Punti!$E$3:$E$82)</f>
        <v/>
      </c>
      <c r="E38" s="30">
        <f>SUMIF(Punti!$B$3:$B$82,$A38,Punti!$F$3:$F$82)</f>
        <v/>
      </c>
      <c r="F38" s="30">
        <f>SUMIF(Punti!$B$3:$B$82,$A38,Punti!$G$3:$G$82)</f>
        <v/>
      </c>
      <c r="G38" s="30">
        <f>SUMIF(Punti!$B$3:$B$82,$A38,Punti!$H$3:$H$82)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IF(COUNTIFS(Partite!$B$3:$B$82,$A39,Partite!$E$3:$E$82,"&lt;&gt;")=0,"Calendario mancante",IF(COUNTIFS(Partite!$B$3:$B$82,$A39,Partite!$K$3:$K$82,"Giocata")=0,"Non giocata",IF(COUNTIFS(Partite!$B$3:$B$82,$A39,Partite!$K$3:$K$82,"Giocata")=COUNTIFS(Partite!$B$3:$B$82,$A39,Partite!$E$3:$E$82,"&lt;&gt;"),"Completata","In corso")))</f>
        <v/>
      </c>
      <c r="C39" s="25">
        <f>SUMIF(Punti!$B$3:$B$82,$A39,Punti!$D$3:$D$82)</f>
        <v/>
      </c>
      <c r="D39" s="25">
        <f>SUMIF(Punti!$B$3:$B$82,$A39,Punti!$E$3:$E$82)</f>
        <v/>
      </c>
      <c r="E39" s="25">
        <f>SUMIF(Punti!$B$3:$B$82,$A39,Punti!$F$3:$F$82)</f>
        <v/>
      </c>
      <c r="F39" s="25">
        <f>SUMIF(Punti!$B$3:$B$82,$A39,Punti!$G$3:$G$82)</f>
        <v/>
      </c>
      <c r="G39" s="25">
        <f>SUMIF(Punti!$B$3:$B$82,$A39,Punti!$H$3:$H$82)</f>
        <v/>
      </c>
      <c r="H39" s="61">
        <f>MAX($C39:$G39)</f>
        <v/>
      </c>
      <c r="I39" s="62">
        <f>IF($H39&lt;=0,"-",INDEX($C$32:$G$32,MATCH($H39,$C39:$G39,0))&amp;IF(COUNTIF($C39:$G39,$H39)&gt;1," (a pari)","")&amp;IF($B39="Completata",""," - in corso"))</f>
        <v/>
      </c>
      <c r="R39" s="63">
        <f>R38+C39</f>
        <v/>
      </c>
      <c r="S39" s="63">
        <f>S38+D39</f>
        <v/>
      </c>
      <c r="T39" s="63">
        <f>T38+E39</f>
        <v/>
      </c>
      <c r="U39" s="63">
        <f>U38+F39</f>
        <v/>
      </c>
      <c r="V39" s="63">
        <f>V38+G39</f>
        <v/>
      </c>
    </row>
    <row r="40">
      <c r="A40" s="27" t="n">
        <v>9</v>
      </c>
      <c r="B40" s="47">
        <f>IF(COUNTIFS(Partite!$B$3:$B$82,$A40,Partite!$E$3:$E$82,"&lt;&gt;")=0,"Calendario mancante",IF(COUNTIFS(Partite!$B$3:$B$82,$A40,Partite!$K$3:$K$82,"Giocata")=0,"Non giocata",IF(COUNTIFS(Partite!$B$3:$B$82,$A40,Partite!$K$3:$K$82,"Giocata")=COUNTIFS(Partite!$B$3:$B$82,$A40,Partite!$E$3:$E$82,"&lt;&gt;"),"Completata","In corso")))</f>
        <v/>
      </c>
      <c r="C40" s="30">
        <f>SUMIF(Punti!$B$3:$B$82,$A40,Punti!$D$3:$D$82)</f>
        <v/>
      </c>
      <c r="D40" s="30">
        <f>SUMIF(Punti!$B$3:$B$82,$A40,Punti!$E$3:$E$82)</f>
        <v/>
      </c>
      <c r="E40" s="30">
        <f>SUMIF(Punti!$B$3:$B$82,$A40,Punti!$F$3:$F$82)</f>
        <v/>
      </c>
      <c r="F40" s="30">
        <f>SUMIF(Punti!$B$3:$B$82,$A40,Punti!$G$3:$G$82)</f>
        <v/>
      </c>
      <c r="G40" s="30">
        <f>SUMIF(Punti!$B$3:$B$82,$A40,Punti!$H$3:$H$82)</f>
        <v/>
      </c>
      <c r="H40" s="61">
        <f>MAX($C40:$G40)</f>
        <v/>
      </c>
      <c r="I40" s="64">
        <f>IF($H40&lt;=0,"-",INDEX($C$32:$G$32,MATCH($H40,$C40:$G40,0))&amp;IF(COUNTIF($C40:$G40,$H40)&gt;1," (a pari)","")&amp;IF($B40="Completata",""," - in corso"))</f>
        <v/>
      </c>
      <c r="R40" s="63">
        <f>R39+C40</f>
        <v/>
      </c>
      <c r="S40" s="63">
        <f>S39+D40</f>
        <v/>
      </c>
      <c r="T40" s="63">
        <f>T39+E40</f>
        <v/>
      </c>
      <c r="U40" s="63">
        <f>U39+F40</f>
        <v/>
      </c>
      <c r="V40" s="63">
        <f>V39+G40</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40">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8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v>4</v>
      </c>
      <c r="H53" s="71" t="n">
        <v>2</v>
      </c>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v>1</v>
      </c>
      <c r="H54" s="71" t="n">
        <v>0</v>
      </c>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v>1</v>
      </c>
      <c r="H55" s="71" t="n">
        <v>3</v>
      </c>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v>2</v>
      </c>
      <c r="H56" s="71" t="n">
        <v>0</v>
      </c>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v>0</v>
      </c>
      <c r="H57" s="71" t="n">
        <v>3</v>
      </c>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v>1</v>
      </c>
      <c r="H58" s="71" t="n">
        <v>3</v>
      </c>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v>3</v>
      </c>
      <c r="H59" s="71" t="n">
        <v>2</v>
      </c>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v>0</v>
      </c>
      <c r="H60" s="71" t="n">
        <v>3</v>
      </c>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v>4</v>
      </c>
      <c r="H61" s="71" t="n">
        <v>0</v>
      </c>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v>1</v>
      </c>
      <c r="H62" s="71" t="n">
        <v>3</v>
      </c>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c r="H63" s="71" t="n"/>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c r="H64" s="71" t="n"/>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c r="H65" s="71" t="n"/>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c r="H66" s="71" t="n"/>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c r="H67" s="71" t="n"/>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c r="H68" s="71" t="n"/>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c r="H69" s="71" t="n"/>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c r="H70" s="71" t="n"/>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c r="H71" s="71" t="n"/>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c r="H72" s="71" t="n"/>
      <c r="I72" s="72">
        <f>IF(OR($G72="",$H72=""),"",IF($G72&gt;$H72,"1",IF($G72=$H72,"X","2")))</f>
        <v/>
      </c>
      <c r="J72" s="25">
        <f>IF(OR($G72="",$H72=""),"",$G72&amp;"-"&amp;$H72)</f>
        <v/>
      </c>
      <c r="K72" s="73">
        <f>IF($E72="","Calendario da inserire",IF(OR($G72="",$H72=""),"Da giocare","Giocata"))</f>
        <v/>
      </c>
    </row>
    <row r="73">
      <c r="A73" s="74" t="inlineStr">
        <is>
          <t>G09-01</t>
        </is>
      </c>
      <c r="B73" s="30" t="n">
        <v>9</v>
      </c>
      <c r="C73" s="30" t="inlineStr">
        <is>
          <t>27/10/2026</t>
        </is>
      </c>
      <c r="D73" s="30" t="inlineStr">
        <is>
          <t>18:30</t>
        </is>
      </c>
      <c r="E73" s="75" t="inlineStr">
        <is>
          <t>Sassuolo</t>
        </is>
      </c>
      <c r="F73" s="75" t="inlineStr">
        <is>
          <t>Lazio</t>
        </is>
      </c>
      <c r="G73" s="71" t="n"/>
      <c r="H73" s="71" t="n"/>
      <c r="I73" s="76">
        <f>IF(OR($G73="",$H73=""),"",IF($G73&gt;$H73,"1",IF($G73=$H73,"X","2")))</f>
        <v/>
      </c>
      <c r="J73" s="30">
        <f>IF(OR($G73="",$H73=""),"",$G73&amp;"-"&amp;$H73)</f>
        <v/>
      </c>
      <c r="K73" s="77">
        <f>IF($E73="","Calendario da inserire",IF(OR($G73="",$H73=""),"Da giocare","Giocata"))</f>
        <v/>
      </c>
    </row>
    <row r="74">
      <c r="A74" s="74" t="inlineStr">
        <is>
          <t>G09-02</t>
        </is>
      </c>
      <c r="B74" s="30" t="n">
        <v>9</v>
      </c>
      <c r="C74" s="30" t="inlineStr">
        <is>
          <t>27/10/2026</t>
        </is>
      </c>
      <c r="D74" s="30" t="inlineStr">
        <is>
          <t>20:45</t>
        </is>
      </c>
      <c r="E74" s="75" t="inlineStr">
        <is>
          <t>Roma</t>
        </is>
      </c>
      <c r="F74" s="75" t="inlineStr">
        <is>
          <t>Cagliari</t>
        </is>
      </c>
      <c r="G74" s="71" t="n"/>
      <c r="H74" s="71" t="n"/>
      <c r="I74" s="76">
        <f>IF(OR($G74="",$H74=""),"",IF($G74&gt;$H74,"1",IF($G74=$H74,"X","2")))</f>
        <v/>
      </c>
      <c r="J74" s="30">
        <f>IF(OR($G74="",$H74=""),"",$G74&amp;"-"&amp;$H74)</f>
        <v/>
      </c>
      <c r="K74" s="77">
        <f>IF($E74="","Calendario da inserire",IF(OR($G74="",$H74=""),"Da giocare","Giocata"))</f>
        <v/>
      </c>
    </row>
    <row r="75">
      <c r="A75" s="74" t="inlineStr">
        <is>
          <t>G09-03</t>
        </is>
      </c>
      <c r="B75" s="30" t="n">
        <v>9</v>
      </c>
      <c r="C75" s="30" t="inlineStr">
        <is>
          <t>27/10/2026</t>
        </is>
      </c>
      <c r="D75" s="30" t="inlineStr">
        <is>
          <t>20:45</t>
        </is>
      </c>
      <c r="E75" s="75" t="inlineStr">
        <is>
          <t>Torino</t>
        </is>
      </c>
      <c r="F75" s="75" t="inlineStr">
        <is>
          <t>Como</t>
        </is>
      </c>
      <c r="G75" s="71" t="n"/>
      <c r="H75" s="71" t="n"/>
      <c r="I75" s="76">
        <f>IF(OR($G75="",$H75=""),"",IF($G75&gt;$H75,"1",IF($G75=$H75,"X","2")))</f>
        <v/>
      </c>
      <c r="J75" s="30">
        <f>IF(OR($G75="",$H75=""),"",$G75&amp;"-"&amp;$H75)</f>
        <v/>
      </c>
      <c r="K75" s="77">
        <f>IF($E75="","Calendario da inserire",IF(OR($G75="",$H75=""),"Da giocare","Giocata"))</f>
        <v/>
      </c>
    </row>
    <row r="76">
      <c r="A76" s="74" t="inlineStr">
        <is>
          <t>G09-04</t>
        </is>
      </c>
      <c r="B76" s="30" t="n">
        <v>9</v>
      </c>
      <c r="C76" s="30" t="inlineStr">
        <is>
          <t>28/10/2026</t>
        </is>
      </c>
      <c r="D76" s="30" t="inlineStr">
        <is>
          <t>18:30</t>
        </is>
      </c>
      <c r="E76" s="75" t="inlineStr">
        <is>
          <t>Milan</t>
        </is>
      </c>
      <c r="F76" s="75" t="inlineStr">
        <is>
          <t>Bologna</t>
        </is>
      </c>
      <c r="G76" s="71" t="n"/>
      <c r="H76" s="71" t="n"/>
      <c r="I76" s="76">
        <f>IF(OR($G76="",$H76=""),"",IF($G76&gt;$H76,"1",IF($G76=$H76,"X","2")))</f>
        <v/>
      </c>
      <c r="J76" s="30">
        <f>IF(OR($G76="",$H76=""),"",$G76&amp;"-"&amp;$H76)</f>
        <v/>
      </c>
      <c r="K76" s="77">
        <f>IF($E76="","Calendario da inserire",IF(OR($G76="",$H76=""),"Da giocare","Giocata"))</f>
        <v/>
      </c>
    </row>
    <row r="77">
      <c r="A77" s="74" t="inlineStr">
        <is>
          <t>G09-05</t>
        </is>
      </c>
      <c r="B77" s="30" t="n">
        <v>9</v>
      </c>
      <c r="C77" s="30" t="inlineStr">
        <is>
          <t>28/10/2026</t>
        </is>
      </c>
      <c r="D77" s="30" t="inlineStr">
        <is>
          <t>18:30</t>
        </is>
      </c>
      <c r="E77" s="75" t="inlineStr">
        <is>
          <t>Parma</t>
        </is>
      </c>
      <c r="F77" s="75" t="inlineStr">
        <is>
          <t>Udinese</t>
        </is>
      </c>
      <c r="G77" s="71" t="n"/>
      <c r="H77" s="71" t="n"/>
      <c r="I77" s="76">
        <f>IF(OR($G77="",$H77=""),"",IF($G77&gt;$H77,"1",IF($G77=$H77,"X","2")))</f>
        <v/>
      </c>
      <c r="J77" s="30">
        <f>IF(OR($G77="",$H77=""),"",$G77&amp;"-"&amp;$H77)</f>
        <v/>
      </c>
      <c r="K77" s="77">
        <f>IF($E77="","Calendario da inserire",IF(OR($G77="",$H77=""),"Da giocare","Giocata"))</f>
        <v/>
      </c>
    </row>
    <row r="78">
      <c r="A78" s="74" t="inlineStr">
        <is>
          <t>G09-06</t>
        </is>
      </c>
      <c r="B78" s="30" t="n">
        <v>9</v>
      </c>
      <c r="C78" s="30" t="inlineStr">
        <is>
          <t>28/10/2026</t>
        </is>
      </c>
      <c r="D78" s="30" t="inlineStr">
        <is>
          <t>18:30</t>
        </is>
      </c>
      <c r="E78" s="75" t="inlineStr">
        <is>
          <t>Venezia</t>
        </is>
      </c>
      <c r="F78" s="75" t="inlineStr">
        <is>
          <t>Inter</t>
        </is>
      </c>
      <c r="G78" s="71" t="n"/>
      <c r="H78" s="71" t="n"/>
      <c r="I78" s="76">
        <f>IF(OR($G78="",$H78=""),"",IF($G78&gt;$H78,"1",IF($G78=$H78,"X","2")))</f>
        <v/>
      </c>
      <c r="J78" s="30">
        <f>IF(OR($G78="",$H78=""),"",$G78&amp;"-"&amp;$H78)</f>
        <v/>
      </c>
      <c r="K78" s="77">
        <f>IF($E78="","Calendario da inserire",IF(OR($G78="",$H78=""),"Da giocare","Giocata"))</f>
        <v/>
      </c>
    </row>
    <row r="79">
      <c r="A79" s="74" t="inlineStr">
        <is>
          <t>G09-07</t>
        </is>
      </c>
      <c r="B79" s="30" t="n">
        <v>9</v>
      </c>
      <c r="C79" s="30" t="inlineStr">
        <is>
          <t>28/10/2026</t>
        </is>
      </c>
      <c r="D79" s="30" t="inlineStr">
        <is>
          <t>20:45</t>
        </is>
      </c>
      <c r="E79" s="75" t="inlineStr">
        <is>
          <t>Genoa</t>
        </is>
      </c>
      <c r="F79" s="75" t="inlineStr">
        <is>
          <t>Juventus</t>
        </is>
      </c>
      <c r="G79" s="71" t="n"/>
      <c r="H79" s="71" t="n"/>
      <c r="I79" s="76">
        <f>IF(OR($G79="",$H79=""),"",IF($G79&gt;$H79,"1",IF($G79=$H79,"X","2")))</f>
        <v/>
      </c>
      <c r="J79" s="30">
        <f>IF(OR($G79="",$H79=""),"",$G79&amp;"-"&amp;$H79)</f>
        <v/>
      </c>
      <c r="K79" s="77">
        <f>IF($E79="","Calendario da inserire",IF(OR($G79="",$H79=""),"Da giocare","Giocata"))</f>
        <v/>
      </c>
    </row>
    <row r="80">
      <c r="A80" s="74" t="inlineStr">
        <is>
          <t>G09-08</t>
        </is>
      </c>
      <c r="B80" s="30" t="n">
        <v>9</v>
      </c>
      <c r="C80" s="30" t="inlineStr">
        <is>
          <t>28/10/2026</t>
        </is>
      </c>
      <c r="D80" s="30" t="inlineStr">
        <is>
          <t>20:45</t>
        </is>
      </c>
      <c r="E80" s="75" t="inlineStr">
        <is>
          <t>Monza</t>
        </is>
      </c>
      <c r="F80" s="75" t="inlineStr">
        <is>
          <t>Napoli</t>
        </is>
      </c>
      <c r="G80" s="71" t="n"/>
      <c r="H80" s="71" t="n"/>
      <c r="I80" s="76">
        <f>IF(OR($G80="",$H80=""),"",IF($G80&gt;$H80,"1",IF($G80=$H80,"X","2")))</f>
        <v/>
      </c>
      <c r="J80" s="30">
        <f>IF(OR($G80="",$H80=""),"",$G80&amp;"-"&amp;$H80)</f>
        <v/>
      </c>
      <c r="K80" s="77">
        <f>IF($E80="","Calendario da inserire",IF(OR($G80="",$H80=""),"Da giocare","Giocata"))</f>
        <v/>
      </c>
    </row>
    <row r="81">
      <c r="A81" s="74" t="inlineStr">
        <is>
          <t>G09-09</t>
        </is>
      </c>
      <c r="B81" s="30" t="n">
        <v>9</v>
      </c>
      <c r="C81" s="30" t="inlineStr">
        <is>
          <t>29/10/2026</t>
        </is>
      </c>
      <c r="D81" s="30" t="inlineStr">
        <is>
          <t>18:30</t>
        </is>
      </c>
      <c r="E81" s="75" t="inlineStr">
        <is>
          <t>Frosinone</t>
        </is>
      </c>
      <c r="F81" s="75" t="inlineStr">
        <is>
          <t>Lecce</t>
        </is>
      </c>
      <c r="G81" s="71" t="n"/>
      <c r="H81" s="71" t="n"/>
      <c r="I81" s="76">
        <f>IF(OR($G81="",$H81=""),"",IF($G81&gt;$H81,"1",IF($G81=$H81,"X","2")))</f>
        <v/>
      </c>
      <c r="J81" s="30">
        <f>IF(OR($G81="",$H81=""),"",$G81&amp;"-"&amp;$H81)</f>
        <v/>
      </c>
      <c r="K81" s="77">
        <f>IF($E81="","Calendario da inserire",IF(OR($G81="",$H81=""),"Da giocare","Giocata"))</f>
        <v/>
      </c>
    </row>
    <row r="82">
      <c r="A82" s="74" t="inlineStr">
        <is>
          <t>G09-10</t>
        </is>
      </c>
      <c r="B82" s="30" t="n">
        <v>9</v>
      </c>
      <c r="C82" s="30" t="inlineStr">
        <is>
          <t>29/10/2026</t>
        </is>
      </c>
      <c r="D82" s="30" t="inlineStr">
        <is>
          <t>20:45</t>
        </is>
      </c>
      <c r="E82" s="75" t="inlineStr">
        <is>
          <t>Fiorentina</t>
        </is>
      </c>
      <c r="F82" s="75" t="inlineStr">
        <is>
          <t>Atalanta</t>
        </is>
      </c>
      <c r="G82" s="71" t="n"/>
      <c r="H82" s="71" t="n"/>
      <c r="I82" s="76">
        <f>IF(OR($G82="",$H82=""),"",IF($G82&gt;$H82,"1",IF($G82=$H82,"X","2")))</f>
        <v/>
      </c>
      <c r="J82" s="30">
        <f>IF(OR($G82="",$H82=""),"",$G82&amp;"-"&amp;$H82)</f>
        <v/>
      </c>
      <c r="K82" s="77">
        <f>IF($E82="","Calendario da inserire",IF(OR($G82="",$H82=""),"Da giocare","Giocata"))</f>
        <v/>
      </c>
    </row>
  </sheetData>
  <autoFilter ref="A2:K82"/>
  <mergeCells count="3">
    <mergeCell ref="G1:H1"/>
    <mergeCell ref="A1:F1"/>
    <mergeCell ref="I1:K1"/>
  </mergeCells>
  <conditionalFormatting sqref="K3:K8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8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inlineStr">
        <is>
          <t>2</t>
        </is>
      </c>
      <c r="F53" s="71" t="n">
        <v>1</v>
      </c>
      <c r="G53" s="71" t="n">
        <v>2</v>
      </c>
      <c r="H53" s="71" t="inlineStr">
        <is>
          <t>2</t>
        </is>
      </c>
      <c r="I53" s="71" t="n">
        <v>1</v>
      </c>
      <c r="J53" s="71" t="n">
        <v>2</v>
      </c>
      <c r="K53" s="71" t="inlineStr">
        <is>
          <t>X</t>
        </is>
      </c>
      <c r="L53" s="71" t="n">
        <v>1</v>
      </c>
      <c r="M53" s="71" t="n">
        <v>1</v>
      </c>
      <c r="N53" s="71" t="inlineStr">
        <is>
          <t>2</t>
        </is>
      </c>
      <c r="O53" s="71" t="n">
        <v>2</v>
      </c>
      <c r="P53" s="71" t="n">
        <v>3</v>
      </c>
      <c r="Q53" s="71" t="inlineStr">
        <is>
          <t>X</t>
        </is>
      </c>
      <c r="R53" s="71" t="n">
        <v>1</v>
      </c>
      <c r="S53" s="71" t="n">
        <v>1</v>
      </c>
    </row>
    <row r="54">
      <c r="A54" s="74">
        <f>Partite!$A54</f>
        <v/>
      </c>
      <c r="B54" s="30">
        <f>Partite!$B54</f>
        <v/>
      </c>
      <c r="C54" s="75">
        <f>IF(Partite!$E54="","",Partite!$E54)</f>
        <v/>
      </c>
      <c r="D54" s="75">
        <f>IF(Partite!$F54="","",Partite!$F54)</f>
        <v/>
      </c>
      <c r="E54" s="71" t="inlineStr">
        <is>
          <t>2</t>
        </is>
      </c>
      <c r="F54" s="71" t="n">
        <v>0</v>
      </c>
      <c r="G54" s="71" t="n">
        <v>3</v>
      </c>
      <c r="H54" s="71" t="inlineStr">
        <is>
          <t>2</t>
        </is>
      </c>
      <c r="I54" s="71" t="n">
        <v>1</v>
      </c>
      <c r="J54" s="71" t="n">
        <v>2</v>
      </c>
      <c r="K54" s="71" t="inlineStr">
        <is>
          <t>2</t>
        </is>
      </c>
      <c r="L54" s="71" t="n">
        <v>1</v>
      </c>
      <c r="M54" s="71" t="n">
        <v>3</v>
      </c>
      <c r="N54" s="71" t="inlineStr">
        <is>
          <t>2</t>
        </is>
      </c>
      <c r="O54" s="71" t="n">
        <v>0</v>
      </c>
      <c r="P54" s="71" t="n">
        <v>3</v>
      </c>
      <c r="Q54" s="71" t="inlineStr">
        <is>
          <t>2</t>
        </is>
      </c>
      <c r="R54" s="71" t="n">
        <v>1</v>
      </c>
      <c r="S54" s="71" t="n">
        <v>2</v>
      </c>
    </row>
    <row r="55">
      <c r="A55" s="74">
        <f>Partite!$A55</f>
        <v/>
      </c>
      <c r="B55" s="30">
        <f>Partite!$B55</f>
        <v/>
      </c>
      <c r="C55" s="75">
        <f>IF(Partite!$E55="","",Partite!$E55)</f>
        <v/>
      </c>
      <c r="D55" s="75">
        <f>IF(Partite!$F55="","",Partite!$F55)</f>
        <v/>
      </c>
      <c r="E55" s="71" t="inlineStr">
        <is>
          <t>2</t>
        </is>
      </c>
      <c r="F55" s="71" t="n">
        <v>1</v>
      </c>
      <c r="G55" s="71" t="n">
        <v>2</v>
      </c>
      <c r="H55" s="71" t="inlineStr">
        <is>
          <t>X</t>
        </is>
      </c>
      <c r="I55" s="71" t="n">
        <v>1</v>
      </c>
      <c r="J55" s="71" t="n">
        <v>1</v>
      </c>
      <c r="K55" s="71" t="inlineStr">
        <is>
          <t>X</t>
        </is>
      </c>
      <c r="L55" s="71" t="n">
        <v>2</v>
      </c>
      <c r="M55" s="71" t="n">
        <v>2</v>
      </c>
      <c r="N55" s="71" t="inlineStr">
        <is>
          <t>2</t>
        </is>
      </c>
      <c r="O55" s="71" t="n">
        <v>1</v>
      </c>
      <c r="P55" s="71" t="n">
        <v>3</v>
      </c>
      <c r="Q55" s="71" t="inlineStr">
        <is>
          <t>2</t>
        </is>
      </c>
      <c r="R55" s="71" t="n">
        <v>0</v>
      </c>
      <c r="S55" s="71" t="n">
        <v>2</v>
      </c>
    </row>
    <row r="56">
      <c r="A56" s="74">
        <f>Partite!$A56</f>
        <v/>
      </c>
      <c r="B56" s="30">
        <f>Partite!$B56</f>
        <v/>
      </c>
      <c r="C56" s="75">
        <f>IF(Partite!$E56="","",Partite!$E56)</f>
        <v/>
      </c>
      <c r="D56" s="75">
        <f>IF(Partite!$F56="","",Partite!$F56)</f>
        <v/>
      </c>
      <c r="E56" s="71" t="inlineStr">
        <is>
          <t>1</t>
        </is>
      </c>
      <c r="F56" s="71" t="n">
        <v>2</v>
      </c>
      <c r="G56" s="71" t="n">
        <v>1</v>
      </c>
      <c r="H56" s="71" t="inlineStr">
        <is>
          <t>1</t>
        </is>
      </c>
      <c r="I56" s="71" t="n">
        <v>3</v>
      </c>
      <c r="J56" s="71" t="n">
        <v>1</v>
      </c>
      <c r="K56" s="71" t="inlineStr">
        <is>
          <t>1</t>
        </is>
      </c>
      <c r="L56" s="71" t="n">
        <v>2</v>
      </c>
      <c r="M56" s="71" t="n">
        <v>1</v>
      </c>
      <c r="N56" s="71" t="inlineStr">
        <is>
          <t>1</t>
        </is>
      </c>
      <c r="O56" s="71" t="n">
        <v>2</v>
      </c>
      <c r="P56" s="71" t="n">
        <v>0</v>
      </c>
      <c r="Q56" s="71" t="inlineStr">
        <is>
          <t>1</t>
        </is>
      </c>
      <c r="R56" s="71" t="n">
        <v>3</v>
      </c>
      <c r="S56" s="71" t="n">
        <v>1</v>
      </c>
    </row>
    <row r="57">
      <c r="A57" s="74">
        <f>Partite!$A57</f>
        <v/>
      </c>
      <c r="B57" s="30">
        <f>Partite!$B57</f>
        <v/>
      </c>
      <c r="C57" s="75">
        <f>IF(Partite!$E57="","",Partite!$E57)</f>
        <v/>
      </c>
      <c r="D57" s="75">
        <f>IF(Partite!$F57="","",Partite!$F57)</f>
        <v/>
      </c>
      <c r="E57" s="71" t="inlineStr">
        <is>
          <t>1</t>
        </is>
      </c>
      <c r="F57" s="71" t="n">
        <v>3</v>
      </c>
      <c r="G57" s="71" t="n">
        <v>1</v>
      </c>
      <c r="H57" s="71" t="inlineStr">
        <is>
          <t>1</t>
        </is>
      </c>
      <c r="I57" s="71" t="n">
        <v>2</v>
      </c>
      <c r="J57" s="71" t="n">
        <v>0</v>
      </c>
      <c r="K57" s="71" t="inlineStr">
        <is>
          <t>1</t>
        </is>
      </c>
      <c r="L57" s="71" t="n">
        <v>3</v>
      </c>
      <c r="M57" s="71" t="n">
        <v>1</v>
      </c>
      <c r="N57" s="71" t="inlineStr">
        <is>
          <t>1</t>
        </is>
      </c>
      <c r="O57" s="71" t="n">
        <v>2</v>
      </c>
      <c r="P57" s="71" t="n">
        <v>1</v>
      </c>
      <c r="Q57" s="71" t="inlineStr">
        <is>
          <t>1</t>
        </is>
      </c>
      <c r="R57" s="71" t="n">
        <v>2</v>
      </c>
      <c r="S57" s="71" t="n">
        <v>0</v>
      </c>
    </row>
    <row r="58">
      <c r="A58" s="74">
        <f>Partite!$A58</f>
        <v/>
      </c>
      <c r="B58" s="30">
        <f>Partite!$B58</f>
        <v/>
      </c>
      <c r="C58" s="75">
        <f>IF(Partite!$E58="","",Partite!$E58)</f>
        <v/>
      </c>
      <c r="D58" s="75">
        <f>IF(Partite!$F58="","",Partite!$F58)</f>
        <v/>
      </c>
      <c r="E58" s="71" t="inlineStr">
        <is>
          <t>2</t>
        </is>
      </c>
      <c r="F58" s="71" t="n">
        <v>1</v>
      </c>
      <c r="G58" s="71" t="n">
        <v>2</v>
      </c>
      <c r="H58" s="71" t="inlineStr">
        <is>
          <t>2</t>
        </is>
      </c>
      <c r="I58" s="71" t="n">
        <v>1</v>
      </c>
      <c r="J58" s="71" t="n">
        <v>2</v>
      </c>
      <c r="K58" s="71" t="inlineStr">
        <is>
          <t>X</t>
        </is>
      </c>
      <c r="L58" s="71" t="n">
        <v>1</v>
      </c>
      <c r="M58" s="71" t="n">
        <v>1</v>
      </c>
      <c r="N58" s="71" t="inlineStr">
        <is>
          <t>2</t>
        </is>
      </c>
      <c r="O58" s="71" t="n">
        <v>1</v>
      </c>
      <c r="P58" s="71" t="n">
        <v>3</v>
      </c>
      <c r="Q58" s="71" t="inlineStr">
        <is>
          <t>1</t>
        </is>
      </c>
      <c r="R58" s="71" t="n">
        <v>2</v>
      </c>
      <c r="S58" s="71" t="n">
        <v>1</v>
      </c>
    </row>
    <row r="59">
      <c r="A59" s="74">
        <f>Partite!$A59</f>
        <v/>
      </c>
      <c r="B59" s="30">
        <f>Partite!$B59</f>
        <v/>
      </c>
      <c r="C59" s="75">
        <f>IF(Partite!$E59="","",Partite!$E59)</f>
        <v/>
      </c>
      <c r="D59" s="75">
        <f>IF(Partite!$F59="","",Partite!$F59)</f>
        <v/>
      </c>
      <c r="E59" s="71" t="inlineStr">
        <is>
          <t>1</t>
        </is>
      </c>
      <c r="F59" s="71" t="n">
        <v>2</v>
      </c>
      <c r="G59" s="71" t="n">
        <v>1</v>
      </c>
      <c r="H59" s="71" t="inlineStr">
        <is>
          <t>1</t>
        </is>
      </c>
      <c r="I59" s="71" t="n">
        <v>2</v>
      </c>
      <c r="J59" s="71" t="n">
        <v>1</v>
      </c>
      <c r="K59" s="71" t="inlineStr">
        <is>
          <t>X</t>
        </is>
      </c>
      <c r="L59" s="71" t="n">
        <v>1</v>
      </c>
      <c r="M59" s="71" t="n">
        <v>1</v>
      </c>
      <c r="N59" s="71" t="inlineStr">
        <is>
          <t>1</t>
        </is>
      </c>
      <c r="O59" s="71" t="n">
        <v>2</v>
      </c>
      <c r="P59" s="71" t="n">
        <v>1</v>
      </c>
      <c r="Q59" s="71" t="inlineStr">
        <is>
          <t>X</t>
        </is>
      </c>
      <c r="R59" s="71" t="n">
        <v>1</v>
      </c>
      <c r="S59" s="71" t="n">
        <v>1</v>
      </c>
    </row>
    <row r="60">
      <c r="A60" s="74">
        <f>Partite!$A60</f>
        <v/>
      </c>
      <c r="B60" s="30">
        <f>Partite!$B60</f>
        <v/>
      </c>
      <c r="C60" s="75">
        <f>IF(Partite!$E60="","",Partite!$E60)</f>
        <v/>
      </c>
      <c r="D60" s="75">
        <f>IF(Partite!$F60="","",Partite!$F60)</f>
        <v/>
      </c>
      <c r="E60" s="71" t="inlineStr">
        <is>
          <t>1</t>
        </is>
      </c>
      <c r="F60" s="71" t="n">
        <v>2</v>
      </c>
      <c r="G60" s="71" t="n">
        <v>0</v>
      </c>
      <c r="H60" s="71" t="inlineStr">
        <is>
          <t>X</t>
        </is>
      </c>
      <c r="I60" s="71" t="n">
        <v>1</v>
      </c>
      <c r="J60" s="71" t="n">
        <v>1</v>
      </c>
      <c r="K60" s="71" t="inlineStr">
        <is>
          <t>X</t>
        </is>
      </c>
      <c r="L60" s="71" t="n">
        <v>1</v>
      </c>
      <c r="M60" s="71" t="n">
        <v>1</v>
      </c>
      <c r="N60" s="71" t="inlineStr">
        <is>
          <t>X</t>
        </is>
      </c>
      <c r="O60" s="71" t="n">
        <v>1</v>
      </c>
      <c r="P60" s="71" t="n">
        <v>1</v>
      </c>
      <c r="Q60" s="71" t="inlineStr">
        <is>
          <t>1</t>
        </is>
      </c>
      <c r="R60" s="71" t="n">
        <v>2</v>
      </c>
      <c r="S60" s="71" t="n">
        <v>1</v>
      </c>
    </row>
    <row r="61">
      <c r="A61" s="74">
        <f>Partite!$A61</f>
        <v/>
      </c>
      <c r="B61" s="30">
        <f>Partite!$B61</f>
        <v/>
      </c>
      <c r="C61" s="75">
        <f>IF(Partite!$E61="","",Partite!$E61)</f>
        <v/>
      </c>
      <c r="D61" s="75">
        <f>IF(Partite!$F61="","",Partite!$F61)</f>
        <v/>
      </c>
      <c r="E61" s="71" t="inlineStr">
        <is>
          <t>X</t>
        </is>
      </c>
      <c r="F61" s="71" t="n">
        <v>1</v>
      </c>
      <c r="G61" s="71" t="n">
        <v>1</v>
      </c>
      <c r="H61" s="71" t="inlineStr">
        <is>
          <t>2</t>
        </is>
      </c>
      <c r="I61" s="71" t="n">
        <v>0</v>
      </c>
      <c r="J61" s="71" t="n">
        <v>2</v>
      </c>
      <c r="K61" s="71" t="inlineStr">
        <is>
          <t>2</t>
        </is>
      </c>
      <c r="L61" s="71" t="n">
        <v>1</v>
      </c>
      <c r="M61" s="71" t="n">
        <v>2</v>
      </c>
      <c r="N61" s="71" t="inlineStr">
        <is>
          <t>2</t>
        </is>
      </c>
      <c r="O61" s="71" t="n">
        <v>1</v>
      </c>
      <c r="P61" s="71" t="n">
        <v>2</v>
      </c>
      <c r="Q61" s="71" t="inlineStr">
        <is>
          <t>X</t>
        </is>
      </c>
      <c r="R61" s="71" t="n">
        <v>1</v>
      </c>
      <c r="S61" s="71" t="n">
        <v>1</v>
      </c>
    </row>
    <row r="62">
      <c r="A62" s="74">
        <f>Partite!$A62</f>
        <v/>
      </c>
      <c r="B62" s="30">
        <f>Partite!$B62</f>
        <v/>
      </c>
      <c r="C62" s="75">
        <f>IF(Partite!$E62="","",Partite!$E62)</f>
        <v/>
      </c>
      <c r="D62" s="75">
        <f>IF(Partite!$F62="","",Partite!$F62)</f>
        <v/>
      </c>
      <c r="E62" s="71" t="inlineStr">
        <is>
          <t>X</t>
        </is>
      </c>
      <c r="F62" s="71" t="n">
        <v>1</v>
      </c>
      <c r="G62" s="71" t="n">
        <v>1</v>
      </c>
      <c r="H62" s="71" t="inlineStr">
        <is>
          <t>X</t>
        </is>
      </c>
      <c r="I62" s="71" t="n">
        <v>0</v>
      </c>
      <c r="J62" s="71" t="n">
        <v>0</v>
      </c>
      <c r="K62" s="71" t="inlineStr">
        <is>
          <t>2</t>
        </is>
      </c>
      <c r="L62" s="71" t="n">
        <v>1</v>
      </c>
      <c r="M62" s="71" t="n">
        <v>2</v>
      </c>
      <c r="N62" s="71" t="inlineStr">
        <is>
          <t>X</t>
        </is>
      </c>
      <c r="O62" s="71" t="n">
        <v>1</v>
      </c>
      <c r="P62" s="71" t="n">
        <v>1</v>
      </c>
      <c r="Q62" s="71" t="inlineStr">
        <is>
          <t>1</t>
        </is>
      </c>
      <c r="R62" s="71" t="n">
        <v>1</v>
      </c>
      <c r="S62" s="71" t="n">
        <v>0</v>
      </c>
    </row>
    <row r="63">
      <c r="A63" s="69">
        <f>Partite!$A63</f>
        <v/>
      </c>
      <c r="B63" s="25">
        <f>Partite!$B63</f>
        <v/>
      </c>
      <c r="C63" s="70">
        <f>IF(Partite!$E63="","",Partite!$E63)</f>
        <v/>
      </c>
      <c r="D63" s="70">
        <f>IF(Partite!$F63="","",Partite!$F63)</f>
        <v/>
      </c>
      <c r="E63" s="71" t="n"/>
      <c r="F63" s="71" t="n"/>
      <c r="G63" s="71" t="n"/>
      <c r="H63" s="71" t="n"/>
      <c r="I63" s="71" t="n"/>
      <c r="J63" s="71" t="n"/>
      <c r="K63" s="71" t="n"/>
      <c r="L63" s="71" t="n"/>
      <c r="M63" s="71" t="n"/>
      <c r="N63" s="71" t="n"/>
      <c r="O63" s="71" t="n"/>
      <c r="P63" s="71" t="n"/>
      <c r="Q63" s="71" t="n"/>
      <c r="R63" s="71" t="n"/>
      <c r="S63" s="71" t="n"/>
    </row>
    <row r="64">
      <c r="A64" s="69">
        <f>Partite!$A64</f>
        <v/>
      </c>
      <c r="B64" s="25">
        <f>Partite!$B64</f>
        <v/>
      </c>
      <c r="C64" s="70">
        <f>IF(Partite!$E64="","",Partite!$E64)</f>
        <v/>
      </c>
      <c r="D64" s="70">
        <f>IF(Partite!$F64="","",Partite!$F64)</f>
        <v/>
      </c>
      <c r="E64" s="71" t="n"/>
      <c r="F64" s="71" t="n"/>
      <c r="G64" s="71" t="n"/>
      <c r="H64" s="71" t="n"/>
      <c r="I64" s="71" t="n"/>
      <c r="J64" s="71" t="n"/>
      <c r="K64" s="71" t="n"/>
      <c r="L64" s="71" t="n"/>
      <c r="M64" s="71" t="n"/>
      <c r="N64" s="71" t="n"/>
      <c r="O64" s="71" t="n"/>
      <c r="P64" s="71" t="n"/>
      <c r="Q64" s="71" t="n"/>
      <c r="R64" s="71" t="n"/>
      <c r="S64" s="71" t="n"/>
    </row>
    <row r="65">
      <c r="A65" s="69">
        <f>Partite!$A65</f>
        <v/>
      </c>
      <c r="B65" s="25">
        <f>Partite!$B65</f>
        <v/>
      </c>
      <c r="C65" s="70">
        <f>IF(Partite!$E65="","",Partite!$E65)</f>
        <v/>
      </c>
      <c r="D65" s="70">
        <f>IF(Partite!$F65="","",Partite!$F65)</f>
        <v/>
      </c>
      <c r="E65" s="71" t="n"/>
      <c r="F65" s="71" t="n"/>
      <c r="G65" s="71" t="n"/>
      <c r="H65" s="71" t="n"/>
      <c r="I65" s="71" t="n"/>
      <c r="J65" s="71" t="n"/>
      <c r="K65" s="71" t="n"/>
      <c r="L65" s="71" t="n"/>
      <c r="M65" s="71" t="n"/>
      <c r="N65" s="71" t="n"/>
      <c r="O65" s="71" t="n"/>
      <c r="P65" s="71" t="n"/>
      <c r="Q65" s="71" t="n"/>
      <c r="R65" s="71" t="n"/>
      <c r="S65" s="71" t="n"/>
    </row>
    <row r="66">
      <c r="A66" s="69">
        <f>Partite!$A66</f>
        <v/>
      </c>
      <c r="B66" s="25">
        <f>Partite!$B66</f>
        <v/>
      </c>
      <c r="C66" s="70">
        <f>IF(Partite!$E66="","",Partite!$E66)</f>
        <v/>
      </c>
      <c r="D66" s="70">
        <f>IF(Partite!$F66="","",Partite!$F66)</f>
        <v/>
      </c>
      <c r="E66" s="71" t="n"/>
      <c r="F66" s="71" t="n"/>
      <c r="G66" s="71" t="n"/>
      <c r="H66" s="71" t="n"/>
      <c r="I66" s="71" t="n"/>
      <c r="J66" s="71" t="n"/>
      <c r="K66" s="71" t="n"/>
      <c r="L66" s="71" t="n"/>
      <c r="M66" s="71" t="n"/>
      <c r="N66" s="71" t="n"/>
      <c r="O66" s="71" t="n"/>
      <c r="P66" s="71" t="n"/>
      <c r="Q66" s="71" t="n"/>
      <c r="R66" s="71" t="n"/>
      <c r="S66" s="71" t="n"/>
    </row>
    <row r="67">
      <c r="A67" s="69">
        <f>Partite!$A67</f>
        <v/>
      </c>
      <c r="B67" s="25">
        <f>Partite!$B67</f>
        <v/>
      </c>
      <c r="C67" s="70">
        <f>IF(Partite!$E67="","",Partite!$E67)</f>
        <v/>
      </c>
      <c r="D67" s="70">
        <f>IF(Partite!$F67="","",Partite!$F67)</f>
        <v/>
      </c>
      <c r="E67" s="71" t="n"/>
      <c r="F67" s="71" t="n"/>
      <c r="G67" s="71" t="n"/>
      <c r="H67" s="71" t="n"/>
      <c r="I67" s="71" t="n"/>
      <c r="J67" s="71" t="n"/>
      <c r="K67" s="71" t="n"/>
      <c r="L67" s="71" t="n"/>
      <c r="M67" s="71" t="n"/>
      <c r="N67" s="71" t="n"/>
      <c r="O67" s="71" t="n"/>
      <c r="P67" s="71" t="n"/>
      <c r="Q67" s="71" t="n"/>
      <c r="R67" s="71" t="n"/>
      <c r="S67" s="71" t="n"/>
    </row>
    <row r="68">
      <c r="A68" s="69">
        <f>Partite!$A68</f>
        <v/>
      </c>
      <c r="B68" s="25">
        <f>Partite!$B68</f>
        <v/>
      </c>
      <c r="C68" s="70">
        <f>IF(Partite!$E68="","",Partite!$E68)</f>
        <v/>
      </c>
      <c r="D68" s="70">
        <f>IF(Partite!$F68="","",Partite!$F68)</f>
        <v/>
      </c>
      <c r="E68" s="71" t="n"/>
      <c r="F68" s="71" t="n"/>
      <c r="G68" s="71" t="n"/>
      <c r="H68" s="71" t="n"/>
      <c r="I68" s="71" t="n"/>
      <c r="J68" s="71" t="n"/>
      <c r="K68" s="71" t="n"/>
      <c r="L68" s="71" t="n"/>
      <c r="M68" s="71" t="n"/>
      <c r="N68" s="71" t="n"/>
      <c r="O68" s="71" t="n"/>
      <c r="P68" s="71" t="n"/>
      <c r="Q68" s="71" t="n"/>
      <c r="R68" s="71" t="n"/>
      <c r="S68" s="71" t="n"/>
    </row>
    <row r="69">
      <c r="A69" s="69">
        <f>Partite!$A69</f>
        <v/>
      </c>
      <c r="B69" s="25">
        <f>Partite!$B69</f>
        <v/>
      </c>
      <c r="C69" s="70">
        <f>IF(Partite!$E69="","",Partite!$E69)</f>
        <v/>
      </c>
      <c r="D69" s="70">
        <f>IF(Partite!$F69="","",Partite!$F69)</f>
        <v/>
      </c>
      <c r="E69" s="71" t="n"/>
      <c r="F69" s="71" t="n"/>
      <c r="G69" s="71" t="n"/>
      <c r="H69" s="71" t="n"/>
      <c r="I69" s="71" t="n"/>
      <c r="J69" s="71" t="n"/>
      <c r="K69" s="71" t="n"/>
      <c r="L69" s="71" t="n"/>
      <c r="M69" s="71" t="n"/>
      <c r="N69" s="71" t="n"/>
      <c r="O69" s="71" t="n"/>
      <c r="P69" s="71" t="n"/>
      <c r="Q69" s="71" t="n"/>
      <c r="R69" s="71" t="n"/>
      <c r="S69" s="71" t="n"/>
    </row>
    <row r="70">
      <c r="A70" s="69">
        <f>Partite!$A70</f>
        <v/>
      </c>
      <c r="B70" s="25">
        <f>Partite!$B70</f>
        <v/>
      </c>
      <c r="C70" s="70">
        <f>IF(Partite!$E70="","",Partite!$E70)</f>
        <v/>
      </c>
      <c r="D70" s="70">
        <f>IF(Partite!$F70="","",Partite!$F70)</f>
        <v/>
      </c>
      <c r="E70" s="71" t="n"/>
      <c r="F70" s="71" t="n"/>
      <c r="G70" s="71" t="n"/>
      <c r="H70" s="71" t="n"/>
      <c r="I70" s="71" t="n"/>
      <c r="J70" s="71" t="n"/>
      <c r="K70" s="71" t="n"/>
      <c r="L70" s="71" t="n"/>
      <c r="M70" s="71" t="n"/>
      <c r="N70" s="71" t="n"/>
      <c r="O70" s="71" t="n"/>
      <c r="P70" s="71" t="n"/>
      <c r="Q70" s="71" t="n"/>
      <c r="R70" s="71" t="n"/>
      <c r="S70" s="71" t="n"/>
    </row>
    <row r="71">
      <c r="A71" s="69">
        <f>Partite!$A71</f>
        <v/>
      </c>
      <c r="B71" s="25">
        <f>Partite!$B71</f>
        <v/>
      </c>
      <c r="C71" s="70">
        <f>IF(Partite!$E71="","",Partite!$E71)</f>
        <v/>
      </c>
      <c r="D71" s="70">
        <f>IF(Partite!$F71="","",Partite!$F71)</f>
        <v/>
      </c>
      <c r="E71" s="71" t="n"/>
      <c r="F71" s="71" t="n"/>
      <c r="G71" s="71" t="n"/>
      <c r="H71" s="71" t="n"/>
      <c r="I71" s="71" t="n"/>
      <c r="J71" s="71" t="n"/>
      <c r="K71" s="71" t="n"/>
      <c r="L71" s="71" t="n"/>
      <c r="M71" s="71" t="n"/>
      <c r="N71" s="71" t="n"/>
      <c r="O71" s="71" t="n"/>
      <c r="P71" s="71" t="n"/>
      <c r="Q71" s="71" t="n"/>
      <c r="R71" s="71" t="n"/>
      <c r="S71" s="71" t="n"/>
    </row>
    <row r="72">
      <c r="A72" s="69">
        <f>Partite!$A72</f>
        <v/>
      </c>
      <c r="B72" s="25">
        <f>Partite!$B72</f>
        <v/>
      </c>
      <c r="C72" s="70">
        <f>IF(Partite!$E72="","",Partite!$E72)</f>
        <v/>
      </c>
      <c r="D72" s="70">
        <f>IF(Partite!$F72="","",Partite!$F72)</f>
        <v/>
      </c>
      <c r="E72" s="71" t="n"/>
      <c r="F72" s="71" t="n"/>
      <c r="G72" s="71" t="n"/>
      <c r="H72" s="71" t="n"/>
      <c r="I72" s="71" t="n"/>
      <c r="J72" s="71" t="n"/>
      <c r="K72" s="71" t="n"/>
      <c r="L72" s="71" t="n"/>
      <c r="M72" s="71" t="n"/>
      <c r="N72" s="71" t="n"/>
      <c r="O72" s="71" t="n"/>
      <c r="P72" s="71" t="n"/>
      <c r="Q72" s="71" t="n"/>
      <c r="R72" s="71" t="n"/>
      <c r="S72" s="71" t="n"/>
    </row>
    <row r="73">
      <c r="A73" s="74">
        <f>Partite!$A73</f>
        <v/>
      </c>
      <c r="B73" s="30">
        <f>Partite!$B73</f>
        <v/>
      </c>
      <c r="C73" s="75">
        <f>IF(Partite!$E73="","",Partite!$E73)</f>
        <v/>
      </c>
      <c r="D73" s="75">
        <f>IF(Partite!$F73="","",Partite!$F73)</f>
        <v/>
      </c>
      <c r="E73" s="71" t="n"/>
      <c r="F73" s="71" t="n"/>
      <c r="G73" s="71" t="n"/>
      <c r="H73" s="71" t="n"/>
      <c r="I73" s="71" t="n"/>
      <c r="J73" s="71" t="n"/>
      <c r="K73" s="71" t="n"/>
      <c r="L73" s="71" t="n"/>
      <c r="M73" s="71" t="n"/>
      <c r="N73" s="71" t="n"/>
      <c r="O73" s="71" t="n"/>
      <c r="P73" s="71" t="n"/>
      <c r="Q73" s="71" t="n"/>
      <c r="R73" s="71" t="n"/>
      <c r="S73" s="71" t="n"/>
    </row>
    <row r="74">
      <c r="A74" s="74">
        <f>Partite!$A74</f>
        <v/>
      </c>
      <c r="B74" s="30">
        <f>Partite!$B74</f>
        <v/>
      </c>
      <c r="C74" s="75">
        <f>IF(Partite!$E74="","",Partite!$E74)</f>
        <v/>
      </c>
      <c r="D74" s="75">
        <f>IF(Partite!$F74="","",Partite!$F74)</f>
        <v/>
      </c>
      <c r="E74" s="71" t="n"/>
      <c r="F74" s="71" t="n"/>
      <c r="G74" s="71" t="n"/>
      <c r="H74" s="71" t="n"/>
      <c r="I74" s="71" t="n"/>
      <c r="J74" s="71" t="n"/>
      <c r="K74" s="71" t="n"/>
      <c r="L74" s="71" t="n"/>
      <c r="M74" s="71" t="n"/>
      <c r="N74" s="71" t="n"/>
      <c r="O74" s="71" t="n"/>
      <c r="P74" s="71" t="n"/>
      <c r="Q74" s="71" t="n"/>
      <c r="R74" s="71" t="n"/>
      <c r="S74" s="71" t="n"/>
    </row>
    <row r="75">
      <c r="A75" s="74">
        <f>Partite!$A75</f>
        <v/>
      </c>
      <c r="B75" s="30">
        <f>Partite!$B75</f>
        <v/>
      </c>
      <c r="C75" s="75">
        <f>IF(Partite!$E75="","",Partite!$E75)</f>
        <v/>
      </c>
      <c r="D75" s="75">
        <f>IF(Partite!$F75="","",Partite!$F75)</f>
        <v/>
      </c>
      <c r="E75" s="71" t="n"/>
      <c r="F75" s="71" t="n"/>
      <c r="G75" s="71" t="n"/>
      <c r="H75" s="71" t="n"/>
      <c r="I75" s="71" t="n"/>
      <c r="J75" s="71" t="n"/>
      <c r="K75" s="71" t="n"/>
      <c r="L75" s="71" t="n"/>
      <c r="M75" s="71" t="n"/>
      <c r="N75" s="71" t="n"/>
      <c r="O75" s="71" t="n"/>
      <c r="P75" s="71" t="n"/>
      <c r="Q75" s="71" t="n"/>
      <c r="R75" s="71" t="n"/>
      <c r="S75" s="71" t="n"/>
    </row>
    <row r="76">
      <c r="A76" s="74">
        <f>Partite!$A76</f>
        <v/>
      </c>
      <c r="B76" s="30">
        <f>Partite!$B76</f>
        <v/>
      </c>
      <c r="C76" s="75">
        <f>IF(Partite!$E76="","",Partite!$E76)</f>
        <v/>
      </c>
      <c r="D76" s="75">
        <f>IF(Partite!$F76="","",Partite!$F76)</f>
        <v/>
      </c>
      <c r="E76" s="71" t="n"/>
      <c r="F76" s="71" t="n"/>
      <c r="G76" s="71" t="n"/>
      <c r="H76" s="71" t="n"/>
      <c r="I76" s="71" t="n"/>
      <c r="J76" s="71" t="n"/>
      <c r="K76" s="71" t="n"/>
      <c r="L76" s="71" t="n"/>
      <c r="M76" s="71" t="n"/>
      <c r="N76" s="71" t="n"/>
      <c r="O76" s="71" t="n"/>
      <c r="P76" s="71" t="n"/>
      <c r="Q76" s="71" t="n"/>
      <c r="R76" s="71" t="n"/>
      <c r="S76" s="71" t="n"/>
    </row>
    <row r="77">
      <c r="A77" s="74">
        <f>Partite!$A77</f>
        <v/>
      </c>
      <c r="B77" s="30">
        <f>Partite!$B77</f>
        <v/>
      </c>
      <c r="C77" s="75">
        <f>IF(Partite!$E77="","",Partite!$E77)</f>
        <v/>
      </c>
      <c r="D77" s="75">
        <f>IF(Partite!$F77="","",Partite!$F77)</f>
        <v/>
      </c>
      <c r="E77" s="71" t="n"/>
      <c r="F77" s="71" t="n"/>
      <c r="G77" s="71" t="n"/>
      <c r="H77" s="71" t="n"/>
      <c r="I77" s="71" t="n"/>
      <c r="J77" s="71" t="n"/>
      <c r="K77" s="71" t="n"/>
      <c r="L77" s="71" t="n"/>
      <c r="M77" s="71" t="n"/>
      <c r="N77" s="71" t="n"/>
      <c r="O77" s="71" t="n"/>
      <c r="P77" s="71" t="n"/>
      <c r="Q77" s="71" t="n"/>
      <c r="R77" s="71" t="n"/>
      <c r="S77" s="71" t="n"/>
    </row>
    <row r="78">
      <c r="A78" s="74">
        <f>Partite!$A78</f>
        <v/>
      </c>
      <c r="B78" s="30">
        <f>Partite!$B78</f>
        <v/>
      </c>
      <c r="C78" s="75">
        <f>IF(Partite!$E78="","",Partite!$E78)</f>
        <v/>
      </c>
      <c r="D78" s="75">
        <f>IF(Partite!$F78="","",Partite!$F78)</f>
        <v/>
      </c>
      <c r="E78" s="71" t="n"/>
      <c r="F78" s="71" t="n"/>
      <c r="G78" s="71" t="n"/>
      <c r="H78" s="71" t="n"/>
      <c r="I78" s="71" t="n"/>
      <c r="J78" s="71" t="n"/>
      <c r="K78" s="71" t="n"/>
      <c r="L78" s="71" t="n"/>
      <c r="M78" s="71" t="n"/>
      <c r="N78" s="71" t="n"/>
      <c r="O78" s="71" t="n"/>
      <c r="P78" s="71" t="n"/>
      <c r="Q78" s="71" t="n"/>
      <c r="R78" s="71" t="n"/>
      <c r="S78" s="71" t="n"/>
    </row>
    <row r="79">
      <c r="A79" s="74">
        <f>Partite!$A79</f>
        <v/>
      </c>
      <c r="B79" s="30">
        <f>Partite!$B79</f>
        <v/>
      </c>
      <c r="C79" s="75">
        <f>IF(Partite!$E79="","",Partite!$E79)</f>
        <v/>
      </c>
      <c r="D79" s="75">
        <f>IF(Partite!$F79="","",Partite!$F79)</f>
        <v/>
      </c>
      <c r="E79" s="71" t="n"/>
      <c r="F79" s="71" t="n"/>
      <c r="G79" s="71" t="n"/>
      <c r="H79" s="71" t="n"/>
      <c r="I79" s="71" t="n"/>
      <c r="J79" s="71" t="n"/>
      <c r="K79" s="71" t="n"/>
      <c r="L79" s="71" t="n"/>
      <c r="M79" s="71" t="n"/>
      <c r="N79" s="71" t="n"/>
      <c r="O79" s="71" t="n"/>
      <c r="P79" s="71" t="n"/>
      <c r="Q79" s="71" t="n"/>
      <c r="R79" s="71" t="n"/>
      <c r="S79" s="71" t="n"/>
    </row>
    <row r="80">
      <c r="A80" s="74">
        <f>Partite!$A80</f>
        <v/>
      </c>
      <c r="B80" s="30">
        <f>Partite!$B80</f>
        <v/>
      </c>
      <c r="C80" s="75">
        <f>IF(Partite!$E80="","",Partite!$E80)</f>
        <v/>
      </c>
      <c r="D80" s="75">
        <f>IF(Partite!$F80="","",Partite!$F80)</f>
        <v/>
      </c>
      <c r="E80" s="71" t="n"/>
      <c r="F80" s="71" t="n"/>
      <c r="G80" s="71" t="n"/>
      <c r="H80" s="71" t="n"/>
      <c r="I80" s="71" t="n"/>
      <c r="J80" s="71" t="n"/>
      <c r="K80" s="71" t="n"/>
      <c r="L80" s="71" t="n"/>
      <c r="M80" s="71" t="n"/>
      <c r="N80" s="71" t="n"/>
      <c r="O80" s="71" t="n"/>
      <c r="P80" s="71" t="n"/>
      <c r="Q80" s="71" t="n"/>
      <c r="R80" s="71" t="n"/>
      <c r="S80" s="71" t="n"/>
    </row>
    <row r="81">
      <c r="A81" s="74">
        <f>Partite!$A81</f>
        <v/>
      </c>
      <c r="B81" s="30">
        <f>Partite!$B81</f>
        <v/>
      </c>
      <c r="C81" s="75">
        <f>IF(Partite!$E81="","",Partite!$E81)</f>
        <v/>
      </c>
      <c r="D81" s="75">
        <f>IF(Partite!$F81="","",Partite!$F81)</f>
        <v/>
      </c>
      <c r="E81" s="71" t="n"/>
      <c r="F81" s="71" t="n"/>
      <c r="G81" s="71" t="n"/>
      <c r="H81" s="71" t="n"/>
      <c r="I81" s="71" t="n"/>
      <c r="J81" s="71" t="n"/>
      <c r="K81" s="71" t="n"/>
      <c r="L81" s="71" t="n"/>
      <c r="M81" s="71" t="n"/>
      <c r="N81" s="71" t="n"/>
      <c r="O81" s="71" t="n"/>
      <c r="P81" s="71" t="n"/>
      <c r="Q81" s="71" t="n"/>
      <c r="R81" s="71" t="n"/>
      <c r="S81" s="71" t="n"/>
    </row>
    <row r="82">
      <c r="A82" s="74">
        <f>Partite!$A82</f>
        <v/>
      </c>
      <c r="B82" s="30">
        <f>Partite!$B82</f>
        <v/>
      </c>
      <c r="C82" s="75">
        <f>IF(Partite!$E82="","",Partite!$E82)</f>
        <v/>
      </c>
      <c r="D82" s="75">
        <f>IF(Partite!$F82="","",Partite!$F82)</f>
        <v/>
      </c>
      <c r="E82" s="71" t="n"/>
      <c r="F82" s="71" t="n"/>
      <c r="G82" s="71" t="n"/>
      <c r="H82" s="71" t="n"/>
      <c r="I82" s="71" t="n"/>
      <c r="J82" s="71" t="n"/>
      <c r="K82" s="71" t="n"/>
      <c r="L82" s="71" t="n"/>
      <c r="M82" s="71" t="n"/>
      <c r="N82" s="71" t="n"/>
      <c r="O82" s="71" t="n"/>
      <c r="P82" s="71" t="n"/>
      <c r="Q82" s="71" t="n"/>
      <c r="R82" s="71" t="n"/>
      <c r="S82" s="71" t="n"/>
    </row>
  </sheetData>
  <autoFilter ref="A2:D8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N3 N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8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row r="73">
      <c r="A73" s="74">
        <f>Partite!$A73</f>
        <v/>
      </c>
      <c r="B73" s="30">
        <f>Partite!$B73</f>
        <v/>
      </c>
      <c r="C73" s="47">
        <f>IF(Partite!$E73="","",Partite!$E73&amp;"  -  "&amp;Partite!$F73)</f>
        <v/>
      </c>
      <c r="D73" s="27">
        <f>IF(Partite!$K73&lt;&gt;"Giocata","",IF(AND(Pronostici!$F73&lt;&gt;"",Pronostici!$G73&lt;&gt;"",Pronostici!$F73=Partite!$G73,Pronostici!$G73=Partite!$H73),Config!$D$6,IF(AND($J73&lt;&gt;"",$J73=Partite!$I73),Config!$D$7,Config!$D$8)))</f>
        <v/>
      </c>
      <c r="E73" s="27">
        <f>IF(Partite!$K73&lt;&gt;"Giocata","",IF(AND(Pronostici!$I73&lt;&gt;"",Pronostici!$J73&lt;&gt;"",Pronostici!$I73=Partite!$G73,Pronostici!$J73=Partite!$H73),Config!$D$6,IF(AND($K73&lt;&gt;"",$K73=Partite!$I73),Config!$D$7,Config!$D$8)))</f>
        <v/>
      </c>
      <c r="F73" s="27">
        <f>IF(Partite!$K73&lt;&gt;"Giocata","",IF(AND(Pronostici!$L73&lt;&gt;"",Pronostici!$M73&lt;&gt;"",Pronostici!$L73=Partite!$G73,Pronostici!$M73=Partite!$H73),Config!$D$6,IF(AND($L73&lt;&gt;"",$L73=Partite!$I73),Config!$D$7,Config!$D$8)))</f>
        <v/>
      </c>
      <c r="G73" s="27">
        <f>IF(Partite!$K73&lt;&gt;"Giocata","",IF(AND(Pronostici!$O73&lt;&gt;"",Pronostici!$P73&lt;&gt;"",Pronostici!$O73=Partite!$G73,Pronostici!$P73=Partite!$H73),Config!$D$6,IF(AND($M73&lt;&gt;"",$M73=Partite!$I73),Config!$D$7,Config!$D$8)))</f>
        <v/>
      </c>
      <c r="H73" s="27">
        <f>IF(Partite!$K73&lt;&gt;"Giocata","",IF(AND(Pronostici!$R73&lt;&gt;"",Pronostici!$S73&lt;&gt;"",Pronostici!$R73=Partite!$G73,Pronostici!$S73=Partite!$H73),Config!$D$6,IF(AND($N73&lt;&gt;"",$N73=Partite!$I73),Config!$D$7,Config!$D$8)))</f>
        <v/>
      </c>
      <c r="J73" s="63">
        <f>IF(Pronostici!$E73&lt;&gt;"",UPPER(Pronostici!$E73),IF(OR(Pronostici!$F73="",Pronostici!$G73=""),"",IF(Pronostici!$F73&gt;Pronostici!$G73,"1",IF(Pronostici!$F73=Pronostici!$G73,"X","2"))))</f>
        <v/>
      </c>
      <c r="K73" s="63">
        <f>IF(Pronostici!$H73&lt;&gt;"",UPPER(Pronostici!$H73),IF(OR(Pronostici!$I73="",Pronostici!$J73=""),"",IF(Pronostici!$I73&gt;Pronostici!$J73,"1",IF(Pronostici!$I73=Pronostici!$J73,"X","2"))))</f>
        <v/>
      </c>
      <c r="L73" s="63">
        <f>IF(Pronostici!$K73&lt;&gt;"",UPPER(Pronostici!$K73),IF(OR(Pronostici!$L73="",Pronostici!$M73=""),"",IF(Pronostici!$L73&gt;Pronostici!$M73,"1",IF(Pronostici!$L73=Pronostici!$M73,"X","2"))))</f>
        <v/>
      </c>
      <c r="M73" s="63">
        <f>IF(Pronostici!$N73&lt;&gt;"",UPPER(Pronostici!$N73),IF(OR(Pronostici!$O73="",Pronostici!$P73=""),"",IF(Pronostici!$O73&gt;Pronostici!$P73,"1",IF(Pronostici!$O73=Pronostici!$P73,"X","2"))))</f>
        <v/>
      </c>
      <c r="N73" s="63">
        <f>IF(Pronostici!$Q73&lt;&gt;"",UPPER(Pronostici!$Q73),IF(OR(Pronostici!$R73="",Pronostici!$S73=""),"",IF(Pronostici!$R73&gt;Pronostici!$S73,"1",IF(Pronostici!$R73=Pronostici!$S73,"X","2"))))</f>
        <v/>
      </c>
    </row>
    <row r="74">
      <c r="A74" s="74">
        <f>Partite!$A74</f>
        <v/>
      </c>
      <c r="B74" s="30">
        <f>Partite!$B74</f>
        <v/>
      </c>
      <c r="C74" s="47">
        <f>IF(Partite!$E74="","",Partite!$E74&amp;"  -  "&amp;Partite!$F74)</f>
        <v/>
      </c>
      <c r="D74" s="27">
        <f>IF(Partite!$K74&lt;&gt;"Giocata","",IF(AND(Pronostici!$F74&lt;&gt;"",Pronostici!$G74&lt;&gt;"",Pronostici!$F74=Partite!$G74,Pronostici!$G74=Partite!$H74),Config!$D$6,IF(AND($J74&lt;&gt;"",$J74=Partite!$I74),Config!$D$7,Config!$D$8)))</f>
        <v/>
      </c>
      <c r="E74" s="27">
        <f>IF(Partite!$K74&lt;&gt;"Giocata","",IF(AND(Pronostici!$I74&lt;&gt;"",Pronostici!$J74&lt;&gt;"",Pronostici!$I74=Partite!$G74,Pronostici!$J74=Partite!$H74),Config!$D$6,IF(AND($K74&lt;&gt;"",$K74=Partite!$I74),Config!$D$7,Config!$D$8)))</f>
        <v/>
      </c>
      <c r="F74" s="27">
        <f>IF(Partite!$K74&lt;&gt;"Giocata","",IF(AND(Pronostici!$L74&lt;&gt;"",Pronostici!$M74&lt;&gt;"",Pronostici!$L74=Partite!$G74,Pronostici!$M74=Partite!$H74),Config!$D$6,IF(AND($L74&lt;&gt;"",$L74=Partite!$I74),Config!$D$7,Config!$D$8)))</f>
        <v/>
      </c>
      <c r="G74" s="27">
        <f>IF(Partite!$K74&lt;&gt;"Giocata","",IF(AND(Pronostici!$O74&lt;&gt;"",Pronostici!$P74&lt;&gt;"",Pronostici!$O74=Partite!$G74,Pronostici!$P74=Partite!$H74),Config!$D$6,IF(AND($M74&lt;&gt;"",$M74=Partite!$I74),Config!$D$7,Config!$D$8)))</f>
        <v/>
      </c>
      <c r="H74" s="27">
        <f>IF(Partite!$K74&lt;&gt;"Giocata","",IF(AND(Pronostici!$R74&lt;&gt;"",Pronostici!$S74&lt;&gt;"",Pronostici!$R74=Partite!$G74,Pronostici!$S74=Partite!$H74),Config!$D$6,IF(AND($N74&lt;&gt;"",$N74=Partite!$I74),Config!$D$7,Config!$D$8)))</f>
        <v/>
      </c>
      <c r="J74" s="63">
        <f>IF(Pronostici!$E74&lt;&gt;"",UPPER(Pronostici!$E74),IF(OR(Pronostici!$F74="",Pronostici!$G74=""),"",IF(Pronostici!$F74&gt;Pronostici!$G74,"1",IF(Pronostici!$F74=Pronostici!$G74,"X","2"))))</f>
        <v/>
      </c>
      <c r="K74" s="63">
        <f>IF(Pronostici!$H74&lt;&gt;"",UPPER(Pronostici!$H74),IF(OR(Pronostici!$I74="",Pronostici!$J74=""),"",IF(Pronostici!$I74&gt;Pronostici!$J74,"1",IF(Pronostici!$I74=Pronostici!$J74,"X","2"))))</f>
        <v/>
      </c>
      <c r="L74" s="63">
        <f>IF(Pronostici!$K74&lt;&gt;"",UPPER(Pronostici!$K74),IF(OR(Pronostici!$L74="",Pronostici!$M74=""),"",IF(Pronostici!$L74&gt;Pronostici!$M74,"1",IF(Pronostici!$L74=Pronostici!$M74,"X","2"))))</f>
        <v/>
      </c>
      <c r="M74" s="63">
        <f>IF(Pronostici!$N74&lt;&gt;"",UPPER(Pronostici!$N74),IF(OR(Pronostici!$O74="",Pronostici!$P74=""),"",IF(Pronostici!$O74&gt;Pronostici!$P74,"1",IF(Pronostici!$O74=Pronostici!$P74,"X","2"))))</f>
        <v/>
      </c>
      <c r="N74" s="63">
        <f>IF(Pronostici!$Q74&lt;&gt;"",UPPER(Pronostici!$Q74),IF(OR(Pronostici!$R74="",Pronostici!$S74=""),"",IF(Pronostici!$R74&gt;Pronostici!$S74,"1",IF(Pronostici!$R74=Pronostici!$S74,"X","2"))))</f>
        <v/>
      </c>
    </row>
    <row r="75">
      <c r="A75" s="74">
        <f>Partite!$A75</f>
        <v/>
      </c>
      <c r="B75" s="30">
        <f>Partite!$B75</f>
        <v/>
      </c>
      <c r="C75" s="47">
        <f>IF(Partite!$E75="","",Partite!$E75&amp;"  -  "&amp;Partite!$F75)</f>
        <v/>
      </c>
      <c r="D75" s="27">
        <f>IF(Partite!$K75&lt;&gt;"Giocata","",IF(AND(Pronostici!$F75&lt;&gt;"",Pronostici!$G75&lt;&gt;"",Pronostici!$F75=Partite!$G75,Pronostici!$G75=Partite!$H75),Config!$D$6,IF(AND($J75&lt;&gt;"",$J75=Partite!$I75),Config!$D$7,Config!$D$8)))</f>
        <v/>
      </c>
      <c r="E75" s="27">
        <f>IF(Partite!$K75&lt;&gt;"Giocata","",IF(AND(Pronostici!$I75&lt;&gt;"",Pronostici!$J75&lt;&gt;"",Pronostici!$I75=Partite!$G75,Pronostici!$J75=Partite!$H75),Config!$D$6,IF(AND($K75&lt;&gt;"",$K75=Partite!$I75),Config!$D$7,Config!$D$8)))</f>
        <v/>
      </c>
      <c r="F75" s="27">
        <f>IF(Partite!$K75&lt;&gt;"Giocata","",IF(AND(Pronostici!$L75&lt;&gt;"",Pronostici!$M75&lt;&gt;"",Pronostici!$L75=Partite!$G75,Pronostici!$M75=Partite!$H75),Config!$D$6,IF(AND($L75&lt;&gt;"",$L75=Partite!$I75),Config!$D$7,Config!$D$8)))</f>
        <v/>
      </c>
      <c r="G75" s="27">
        <f>IF(Partite!$K75&lt;&gt;"Giocata","",IF(AND(Pronostici!$O75&lt;&gt;"",Pronostici!$P75&lt;&gt;"",Pronostici!$O75=Partite!$G75,Pronostici!$P75=Partite!$H75),Config!$D$6,IF(AND($M75&lt;&gt;"",$M75=Partite!$I75),Config!$D$7,Config!$D$8)))</f>
        <v/>
      </c>
      <c r="H75" s="27">
        <f>IF(Partite!$K75&lt;&gt;"Giocata","",IF(AND(Pronostici!$R75&lt;&gt;"",Pronostici!$S75&lt;&gt;"",Pronostici!$R75=Partite!$G75,Pronostici!$S75=Partite!$H75),Config!$D$6,IF(AND($N75&lt;&gt;"",$N75=Partite!$I75),Config!$D$7,Config!$D$8)))</f>
        <v/>
      </c>
      <c r="J75" s="63">
        <f>IF(Pronostici!$E75&lt;&gt;"",UPPER(Pronostici!$E75),IF(OR(Pronostici!$F75="",Pronostici!$G75=""),"",IF(Pronostici!$F75&gt;Pronostici!$G75,"1",IF(Pronostici!$F75=Pronostici!$G75,"X","2"))))</f>
        <v/>
      </c>
      <c r="K75" s="63">
        <f>IF(Pronostici!$H75&lt;&gt;"",UPPER(Pronostici!$H75),IF(OR(Pronostici!$I75="",Pronostici!$J75=""),"",IF(Pronostici!$I75&gt;Pronostici!$J75,"1",IF(Pronostici!$I75=Pronostici!$J75,"X","2"))))</f>
        <v/>
      </c>
      <c r="L75" s="63">
        <f>IF(Pronostici!$K75&lt;&gt;"",UPPER(Pronostici!$K75),IF(OR(Pronostici!$L75="",Pronostici!$M75=""),"",IF(Pronostici!$L75&gt;Pronostici!$M75,"1",IF(Pronostici!$L75=Pronostici!$M75,"X","2"))))</f>
        <v/>
      </c>
      <c r="M75" s="63">
        <f>IF(Pronostici!$N75&lt;&gt;"",UPPER(Pronostici!$N75),IF(OR(Pronostici!$O75="",Pronostici!$P75=""),"",IF(Pronostici!$O75&gt;Pronostici!$P75,"1",IF(Pronostici!$O75=Pronostici!$P75,"X","2"))))</f>
        <v/>
      </c>
      <c r="N75" s="63">
        <f>IF(Pronostici!$Q75&lt;&gt;"",UPPER(Pronostici!$Q75),IF(OR(Pronostici!$R75="",Pronostici!$S75=""),"",IF(Pronostici!$R75&gt;Pronostici!$S75,"1",IF(Pronostici!$R75=Pronostici!$S75,"X","2"))))</f>
        <v/>
      </c>
    </row>
    <row r="76">
      <c r="A76" s="74">
        <f>Partite!$A76</f>
        <v/>
      </c>
      <c r="B76" s="30">
        <f>Partite!$B76</f>
        <v/>
      </c>
      <c r="C76" s="47">
        <f>IF(Partite!$E76="","",Partite!$E76&amp;"  -  "&amp;Partite!$F76)</f>
        <v/>
      </c>
      <c r="D76" s="27">
        <f>IF(Partite!$K76&lt;&gt;"Giocata","",IF(AND(Pronostici!$F76&lt;&gt;"",Pronostici!$G76&lt;&gt;"",Pronostici!$F76=Partite!$G76,Pronostici!$G76=Partite!$H76),Config!$D$6,IF(AND($J76&lt;&gt;"",$J76=Partite!$I76),Config!$D$7,Config!$D$8)))</f>
        <v/>
      </c>
      <c r="E76" s="27">
        <f>IF(Partite!$K76&lt;&gt;"Giocata","",IF(AND(Pronostici!$I76&lt;&gt;"",Pronostici!$J76&lt;&gt;"",Pronostici!$I76=Partite!$G76,Pronostici!$J76=Partite!$H76),Config!$D$6,IF(AND($K76&lt;&gt;"",$K76=Partite!$I76),Config!$D$7,Config!$D$8)))</f>
        <v/>
      </c>
      <c r="F76" s="27">
        <f>IF(Partite!$K76&lt;&gt;"Giocata","",IF(AND(Pronostici!$L76&lt;&gt;"",Pronostici!$M76&lt;&gt;"",Pronostici!$L76=Partite!$G76,Pronostici!$M76=Partite!$H76),Config!$D$6,IF(AND($L76&lt;&gt;"",$L76=Partite!$I76),Config!$D$7,Config!$D$8)))</f>
        <v/>
      </c>
      <c r="G76" s="27">
        <f>IF(Partite!$K76&lt;&gt;"Giocata","",IF(AND(Pronostici!$O76&lt;&gt;"",Pronostici!$P76&lt;&gt;"",Pronostici!$O76=Partite!$G76,Pronostici!$P76=Partite!$H76),Config!$D$6,IF(AND($M76&lt;&gt;"",$M76=Partite!$I76),Config!$D$7,Config!$D$8)))</f>
        <v/>
      </c>
      <c r="H76" s="27">
        <f>IF(Partite!$K76&lt;&gt;"Giocata","",IF(AND(Pronostici!$R76&lt;&gt;"",Pronostici!$S76&lt;&gt;"",Pronostici!$R76=Partite!$G76,Pronostici!$S76=Partite!$H76),Config!$D$6,IF(AND($N76&lt;&gt;"",$N76=Partite!$I76),Config!$D$7,Config!$D$8)))</f>
        <v/>
      </c>
      <c r="J76" s="63">
        <f>IF(Pronostici!$E76&lt;&gt;"",UPPER(Pronostici!$E76),IF(OR(Pronostici!$F76="",Pronostici!$G76=""),"",IF(Pronostici!$F76&gt;Pronostici!$G76,"1",IF(Pronostici!$F76=Pronostici!$G76,"X","2"))))</f>
        <v/>
      </c>
      <c r="K76" s="63">
        <f>IF(Pronostici!$H76&lt;&gt;"",UPPER(Pronostici!$H76),IF(OR(Pronostici!$I76="",Pronostici!$J76=""),"",IF(Pronostici!$I76&gt;Pronostici!$J76,"1",IF(Pronostici!$I76=Pronostici!$J76,"X","2"))))</f>
        <v/>
      </c>
      <c r="L76" s="63">
        <f>IF(Pronostici!$K76&lt;&gt;"",UPPER(Pronostici!$K76),IF(OR(Pronostici!$L76="",Pronostici!$M76=""),"",IF(Pronostici!$L76&gt;Pronostici!$M76,"1",IF(Pronostici!$L76=Pronostici!$M76,"X","2"))))</f>
        <v/>
      </c>
      <c r="M76" s="63">
        <f>IF(Pronostici!$N76&lt;&gt;"",UPPER(Pronostici!$N76),IF(OR(Pronostici!$O76="",Pronostici!$P76=""),"",IF(Pronostici!$O76&gt;Pronostici!$P76,"1",IF(Pronostici!$O76=Pronostici!$P76,"X","2"))))</f>
        <v/>
      </c>
      <c r="N76" s="63">
        <f>IF(Pronostici!$Q76&lt;&gt;"",UPPER(Pronostici!$Q76),IF(OR(Pronostici!$R76="",Pronostici!$S76=""),"",IF(Pronostici!$R76&gt;Pronostici!$S76,"1",IF(Pronostici!$R76=Pronostici!$S76,"X","2"))))</f>
        <v/>
      </c>
    </row>
    <row r="77">
      <c r="A77" s="74">
        <f>Partite!$A77</f>
        <v/>
      </c>
      <c r="B77" s="30">
        <f>Partite!$B77</f>
        <v/>
      </c>
      <c r="C77" s="47">
        <f>IF(Partite!$E77="","",Partite!$E77&amp;"  -  "&amp;Partite!$F77)</f>
        <v/>
      </c>
      <c r="D77" s="27">
        <f>IF(Partite!$K77&lt;&gt;"Giocata","",IF(AND(Pronostici!$F77&lt;&gt;"",Pronostici!$G77&lt;&gt;"",Pronostici!$F77=Partite!$G77,Pronostici!$G77=Partite!$H77),Config!$D$6,IF(AND($J77&lt;&gt;"",$J77=Partite!$I77),Config!$D$7,Config!$D$8)))</f>
        <v/>
      </c>
      <c r="E77" s="27">
        <f>IF(Partite!$K77&lt;&gt;"Giocata","",IF(AND(Pronostici!$I77&lt;&gt;"",Pronostici!$J77&lt;&gt;"",Pronostici!$I77=Partite!$G77,Pronostici!$J77=Partite!$H77),Config!$D$6,IF(AND($K77&lt;&gt;"",$K77=Partite!$I77),Config!$D$7,Config!$D$8)))</f>
        <v/>
      </c>
      <c r="F77" s="27">
        <f>IF(Partite!$K77&lt;&gt;"Giocata","",IF(AND(Pronostici!$L77&lt;&gt;"",Pronostici!$M77&lt;&gt;"",Pronostici!$L77=Partite!$G77,Pronostici!$M77=Partite!$H77),Config!$D$6,IF(AND($L77&lt;&gt;"",$L77=Partite!$I77),Config!$D$7,Config!$D$8)))</f>
        <v/>
      </c>
      <c r="G77" s="27">
        <f>IF(Partite!$K77&lt;&gt;"Giocata","",IF(AND(Pronostici!$O77&lt;&gt;"",Pronostici!$P77&lt;&gt;"",Pronostici!$O77=Partite!$G77,Pronostici!$P77=Partite!$H77),Config!$D$6,IF(AND($M77&lt;&gt;"",$M77=Partite!$I77),Config!$D$7,Config!$D$8)))</f>
        <v/>
      </c>
      <c r="H77" s="27">
        <f>IF(Partite!$K77&lt;&gt;"Giocata","",IF(AND(Pronostici!$R77&lt;&gt;"",Pronostici!$S77&lt;&gt;"",Pronostici!$R77=Partite!$G77,Pronostici!$S77=Partite!$H77),Config!$D$6,IF(AND($N77&lt;&gt;"",$N77=Partite!$I77),Config!$D$7,Config!$D$8)))</f>
        <v/>
      </c>
      <c r="J77" s="63">
        <f>IF(Pronostici!$E77&lt;&gt;"",UPPER(Pronostici!$E77),IF(OR(Pronostici!$F77="",Pronostici!$G77=""),"",IF(Pronostici!$F77&gt;Pronostici!$G77,"1",IF(Pronostici!$F77=Pronostici!$G77,"X","2"))))</f>
        <v/>
      </c>
      <c r="K77" s="63">
        <f>IF(Pronostici!$H77&lt;&gt;"",UPPER(Pronostici!$H77),IF(OR(Pronostici!$I77="",Pronostici!$J77=""),"",IF(Pronostici!$I77&gt;Pronostici!$J77,"1",IF(Pronostici!$I77=Pronostici!$J77,"X","2"))))</f>
        <v/>
      </c>
      <c r="L77" s="63">
        <f>IF(Pronostici!$K77&lt;&gt;"",UPPER(Pronostici!$K77),IF(OR(Pronostici!$L77="",Pronostici!$M77=""),"",IF(Pronostici!$L77&gt;Pronostici!$M77,"1",IF(Pronostici!$L77=Pronostici!$M77,"X","2"))))</f>
        <v/>
      </c>
      <c r="M77" s="63">
        <f>IF(Pronostici!$N77&lt;&gt;"",UPPER(Pronostici!$N77),IF(OR(Pronostici!$O77="",Pronostici!$P77=""),"",IF(Pronostici!$O77&gt;Pronostici!$P77,"1",IF(Pronostici!$O77=Pronostici!$P77,"X","2"))))</f>
        <v/>
      </c>
      <c r="N77" s="63">
        <f>IF(Pronostici!$Q77&lt;&gt;"",UPPER(Pronostici!$Q77),IF(OR(Pronostici!$R77="",Pronostici!$S77=""),"",IF(Pronostici!$R77&gt;Pronostici!$S77,"1",IF(Pronostici!$R77=Pronostici!$S77,"X","2"))))</f>
        <v/>
      </c>
    </row>
    <row r="78">
      <c r="A78" s="74">
        <f>Partite!$A78</f>
        <v/>
      </c>
      <c r="B78" s="30">
        <f>Partite!$B78</f>
        <v/>
      </c>
      <c r="C78" s="47">
        <f>IF(Partite!$E78="","",Partite!$E78&amp;"  -  "&amp;Partite!$F78)</f>
        <v/>
      </c>
      <c r="D78" s="27">
        <f>IF(Partite!$K78&lt;&gt;"Giocata","",IF(AND(Pronostici!$F78&lt;&gt;"",Pronostici!$G78&lt;&gt;"",Pronostici!$F78=Partite!$G78,Pronostici!$G78=Partite!$H78),Config!$D$6,IF(AND($J78&lt;&gt;"",$J78=Partite!$I78),Config!$D$7,Config!$D$8)))</f>
        <v/>
      </c>
      <c r="E78" s="27">
        <f>IF(Partite!$K78&lt;&gt;"Giocata","",IF(AND(Pronostici!$I78&lt;&gt;"",Pronostici!$J78&lt;&gt;"",Pronostici!$I78=Partite!$G78,Pronostici!$J78=Partite!$H78),Config!$D$6,IF(AND($K78&lt;&gt;"",$K78=Partite!$I78),Config!$D$7,Config!$D$8)))</f>
        <v/>
      </c>
      <c r="F78" s="27">
        <f>IF(Partite!$K78&lt;&gt;"Giocata","",IF(AND(Pronostici!$L78&lt;&gt;"",Pronostici!$M78&lt;&gt;"",Pronostici!$L78=Partite!$G78,Pronostici!$M78=Partite!$H78),Config!$D$6,IF(AND($L78&lt;&gt;"",$L78=Partite!$I78),Config!$D$7,Config!$D$8)))</f>
        <v/>
      </c>
      <c r="G78" s="27">
        <f>IF(Partite!$K78&lt;&gt;"Giocata","",IF(AND(Pronostici!$O78&lt;&gt;"",Pronostici!$P78&lt;&gt;"",Pronostici!$O78=Partite!$G78,Pronostici!$P78=Partite!$H78),Config!$D$6,IF(AND($M78&lt;&gt;"",$M78=Partite!$I78),Config!$D$7,Config!$D$8)))</f>
        <v/>
      </c>
      <c r="H78" s="27">
        <f>IF(Partite!$K78&lt;&gt;"Giocata","",IF(AND(Pronostici!$R78&lt;&gt;"",Pronostici!$S78&lt;&gt;"",Pronostici!$R78=Partite!$G78,Pronostici!$S78=Partite!$H78),Config!$D$6,IF(AND($N78&lt;&gt;"",$N78=Partite!$I78),Config!$D$7,Config!$D$8)))</f>
        <v/>
      </c>
      <c r="J78" s="63">
        <f>IF(Pronostici!$E78&lt;&gt;"",UPPER(Pronostici!$E78),IF(OR(Pronostici!$F78="",Pronostici!$G78=""),"",IF(Pronostici!$F78&gt;Pronostici!$G78,"1",IF(Pronostici!$F78=Pronostici!$G78,"X","2"))))</f>
        <v/>
      </c>
      <c r="K78" s="63">
        <f>IF(Pronostici!$H78&lt;&gt;"",UPPER(Pronostici!$H78),IF(OR(Pronostici!$I78="",Pronostici!$J78=""),"",IF(Pronostici!$I78&gt;Pronostici!$J78,"1",IF(Pronostici!$I78=Pronostici!$J78,"X","2"))))</f>
        <v/>
      </c>
      <c r="L78" s="63">
        <f>IF(Pronostici!$K78&lt;&gt;"",UPPER(Pronostici!$K78),IF(OR(Pronostici!$L78="",Pronostici!$M78=""),"",IF(Pronostici!$L78&gt;Pronostici!$M78,"1",IF(Pronostici!$L78=Pronostici!$M78,"X","2"))))</f>
        <v/>
      </c>
      <c r="M78" s="63">
        <f>IF(Pronostici!$N78&lt;&gt;"",UPPER(Pronostici!$N78),IF(OR(Pronostici!$O78="",Pronostici!$P78=""),"",IF(Pronostici!$O78&gt;Pronostici!$P78,"1",IF(Pronostici!$O78=Pronostici!$P78,"X","2"))))</f>
        <v/>
      </c>
      <c r="N78" s="63">
        <f>IF(Pronostici!$Q78&lt;&gt;"",UPPER(Pronostici!$Q78),IF(OR(Pronostici!$R78="",Pronostici!$S78=""),"",IF(Pronostici!$R78&gt;Pronostici!$S78,"1",IF(Pronostici!$R78=Pronostici!$S78,"X","2"))))</f>
        <v/>
      </c>
    </row>
    <row r="79">
      <c r="A79" s="74">
        <f>Partite!$A79</f>
        <v/>
      </c>
      <c r="B79" s="30">
        <f>Partite!$B79</f>
        <v/>
      </c>
      <c r="C79" s="47">
        <f>IF(Partite!$E79="","",Partite!$E79&amp;"  -  "&amp;Partite!$F79)</f>
        <v/>
      </c>
      <c r="D79" s="27">
        <f>IF(Partite!$K79&lt;&gt;"Giocata","",IF(AND(Pronostici!$F79&lt;&gt;"",Pronostici!$G79&lt;&gt;"",Pronostici!$F79=Partite!$G79,Pronostici!$G79=Partite!$H79),Config!$D$6,IF(AND($J79&lt;&gt;"",$J79=Partite!$I79),Config!$D$7,Config!$D$8)))</f>
        <v/>
      </c>
      <c r="E79" s="27">
        <f>IF(Partite!$K79&lt;&gt;"Giocata","",IF(AND(Pronostici!$I79&lt;&gt;"",Pronostici!$J79&lt;&gt;"",Pronostici!$I79=Partite!$G79,Pronostici!$J79=Partite!$H79),Config!$D$6,IF(AND($K79&lt;&gt;"",$K79=Partite!$I79),Config!$D$7,Config!$D$8)))</f>
        <v/>
      </c>
      <c r="F79" s="27">
        <f>IF(Partite!$K79&lt;&gt;"Giocata","",IF(AND(Pronostici!$L79&lt;&gt;"",Pronostici!$M79&lt;&gt;"",Pronostici!$L79=Partite!$G79,Pronostici!$M79=Partite!$H79),Config!$D$6,IF(AND($L79&lt;&gt;"",$L79=Partite!$I79),Config!$D$7,Config!$D$8)))</f>
        <v/>
      </c>
      <c r="G79" s="27">
        <f>IF(Partite!$K79&lt;&gt;"Giocata","",IF(AND(Pronostici!$O79&lt;&gt;"",Pronostici!$P79&lt;&gt;"",Pronostici!$O79=Partite!$G79,Pronostici!$P79=Partite!$H79),Config!$D$6,IF(AND($M79&lt;&gt;"",$M79=Partite!$I79),Config!$D$7,Config!$D$8)))</f>
        <v/>
      </c>
      <c r="H79" s="27">
        <f>IF(Partite!$K79&lt;&gt;"Giocata","",IF(AND(Pronostici!$R79&lt;&gt;"",Pronostici!$S79&lt;&gt;"",Pronostici!$R79=Partite!$G79,Pronostici!$S79=Partite!$H79),Config!$D$6,IF(AND($N79&lt;&gt;"",$N79=Partite!$I79),Config!$D$7,Config!$D$8)))</f>
        <v/>
      </c>
      <c r="J79" s="63">
        <f>IF(Pronostici!$E79&lt;&gt;"",UPPER(Pronostici!$E79),IF(OR(Pronostici!$F79="",Pronostici!$G79=""),"",IF(Pronostici!$F79&gt;Pronostici!$G79,"1",IF(Pronostici!$F79=Pronostici!$G79,"X","2"))))</f>
        <v/>
      </c>
      <c r="K79" s="63">
        <f>IF(Pronostici!$H79&lt;&gt;"",UPPER(Pronostici!$H79),IF(OR(Pronostici!$I79="",Pronostici!$J79=""),"",IF(Pronostici!$I79&gt;Pronostici!$J79,"1",IF(Pronostici!$I79=Pronostici!$J79,"X","2"))))</f>
        <v/>
      </c>
      <c r="L79" s="63">
        <f>IF(Pronostici!$K79&lt;&gt;"",UPPER(Pronostici!$K79),IF(OR(Pronostici!$L79="",Pronostici!$M79=""),"",IF(Pronostici!$L79&gt;Pronostici!$M79,"1",IF(Pronostici!$L79=Pronostici!$M79,"X","2"))))</f>
        <v/>
      </c>
      <c r="M79" s="63">
        <f>IF(Pronostici!$N79&lt;&gt;"",UPPER(Pronostici!$N79),IF(OR(Pronostici!$O79="",Pronostici!$P79=""),"",IF(Pronostici!$O79&gt;Pronostici!$P79,"1",IF(Pronostici!$O79=Pronostici!$P79,"X","2"))))</f>
        <v/>
      </c>
      <c r="N79" s="63">
        <f>IF(Pronostici!$Q79&lt;&gt;"",UPPER(Pronostici!$Q79),IF(OR(Pronostici!$R79="",Pronostici!$S79=""),"",IF(Pronostici!$R79&gt;Pronostici!$S79,"1",IF(Pronostici!$R79=Pronostici!$S79,"X","2"))))</f>
        <v/>
      </c>
    </row>
    <row r="80">
      <c r="A80" s="74">
        <f>Partite!$A80</f>
        <v/>
      </c>
      <c r="B80" s="30">
        <f>Partite!$B80</f>
        <v/>
      </c>
      <c r="C80" s="47">
        <f>IF(Partite!$E80="","",Partite!$E80&amp;"  -  "&amp;Partite!$F80)</f>
        <v/>
      </c>
      <c r="D80" s="27">
        <f>IF(Partite!$K80&lt;&gt;"Giocata","",IF(AND(Pronostici!$F80&lt;&gt;"",Pronostici!$G80&lt;&gt;"",Pronostici!$F80=Partite!$G80,Pronostici!$G80=Partite!$H80),Config!$D$6,IF(AND($J80&lt;&gt;"",$J80=Partite!$I80),Config!$D$7,Config!$D$8)))</f>
        <v/>
      </c>
      <c r="E80" s="27">
        <f>IF(Partite!$K80&lt;&gt;"Giocata","",IF(AND(Pronostici!$I80&lt;&gt;"",Pronostici!$J80&lt;&gt;"",Pronostici!$I80=Partite!$G80,Pronostici!$J80=Partite!$H80),Config!$D$6,IF(AND($K80&lt;&gt;"",$K80=Partite!$I80),Config!$D$7,Config!$D$8)))</f>
        <v/>
      </c>
      <c r="F80" s="27">
        <f>IF(Partite!$K80&lt;&gt;"Giocata","",IF(AND(Pronostici!$L80&lt;&gt;"",Pronostici!$M80&lt;&gt;"",Pronostici!$L80=Partite!$G80,Pronostici!$M80=Partite!$H80),Config!$D$6,IF(AND($L80&lt;&gt;"",$L80=Partite!$I80),Config!$D$7,Config!$D$8)))</f>
        <v/>
      </c>
      <c r="G80" s="27">
        <f>IF(Partite!$K80&lt;&gt;"Giocata","",IF(AND(Pronostici!$O80&lt;&gt;"",Pronostici!$P80&lt;&gt;"",Pronostici!$O80=Partite!$G80,Pronostici!$P80=Partite!$H80),Config!$D$6,IF(AND($M80&lt;&gt;"",$M80=Partite!$I80),Config!$D$7,Config!$D$8)))</f>
        <v/>
      </c>
      <c r="H80" s="27">
        <f>IF(Partite!$K80&lt;&gt;"Giocata","",IF(AND(Pronostici!$R80&lt;&gt;"",Pronostici!$S80&lt;&gt;"",Pronostici!$R80=Partite!$G80,Pronostici!$S80=Partite!$H80),Config!$D$6,IF(AND($N80&lt;&gt;"",$N80=Partite!$I80),Config!$D$7,Config!$D$8)))</f>
        <v/>
      </c>
      <c r="J80" s="63">
        <f>IF(Pronostici!$E80&lt;&gt;"",UPPER(Pronostici!$E80),IF(OR(Pronostici!$F80="",Pronostici!$G80=""),"",IF(Pronostici!$F80&gt;Pronostici!$G80,"1",IF(Pronostici!$F80=Pronostici!$G80,"X","2"))))</f>
        <v/>
      </c>
      <c r="K80" s="63">
        <f>IF(Pronostici!$H80&lt;&gt;"",UPPER(Pronostici!$H80),IF(OR(Pronostici!$I80="",Pronostici!$J80=""),"",IF(Pronostici!$I80&gt;Pronostici!$J80,"1",IF(Pronostici!$I80=Pronostici!$J80,"X","2"))))</f>
        <v/>
      </c>
      <c r="L80" s="63">
        <f>IF(Pronostici!$K80&lt;&gt;"",UPPER(Pronostici!$K80),IF(OR(Pronostici!$L80="",Pronostici!$M80=""),"",IF(Pronostici!$L80&gt;Pronostici!$M80,"1",IF(Pronostici!$L80=Pronostici!$M80,"X","2"))))</f>
        <v/>
      </c>
      <c r="M80" s="63">
        <f>IF(Pronostici!$N80&lt;&gt;"",UPPER(Pronostici!$N80),IF(OR(Pronostici!$O80="",Pronostici!$P80=""),"",IF(Pronostici!$O80&gt;Pronostici!$P80,"1",IF(Pronostici!$O80=Pronostici!$P80,"X","2"))))</f>
        <v/>
      </c>
      <c r="N80" s="63">
        <f>IF(Pronostici!$Q80&lt;&gt;"",UPPER(Pronostici!$Q80),IF(OR(Pronostici!$R80="",Pronostici!$S80=""),"",IF(Pronostici!$R80&gt;Pronostici!$S80,"1",IF(Pronostici!$R80=Pronostici!$S80,"X","2"))))</f>
        <v/>
      </c>
    </row>
    <row r="81">
      <c r="A81" s="74">
        <f>Partite!$A81</f>
        <v/>
      </c>
      <c r="B81" s="30">
        <f>Partite!$B81</f>
        <v/>
      </c>
      <c r="C81" s="47">
        <f>IF(Partite!$E81="","",Partite!$E81&amp;"  -  "&amp;Partite!$F81)</f>
        <v/>
      </c>
      <c r="D81" s="27">
        <f>IF(Partite!$K81&lt;&gt;"Giocata","",IF(AND(Pronostici!$F81&lt;&gt;"",Pronostici!$G81&lt;&gt;"",Pronostici!$F81=Partite!$G81,Pronostici!$G81=Partite!$H81),Config!$D$6,IF(AND($J81&lt;&gt;"",$J81=Partite!$I81),Config!$D$7,Config!$D$8)))</f>
        <v/>
      </c>
      <c r="E81" s="27">
        <f>IF(Partite!$K81&lt;&gt;"Giocata","",IF(AND(Pronostici!$I81&lt;&gt;"",Pronostici!$J81&lt;&gt;"",Pronostici!$I81=Partite!$G81,Pronostici!$J81=Partite!$H81),Config!$D$6,IF(AND($K81&lt;&gt;"",$K81=Partite!$I81),Config!$D$7,Config!$D$8)))</f>
        <v/>
      </c>
      <c r="F81" s="27">
        <f>IF(Partite!$K81&lt;&gt;"Giocata","",IF(AND(Pronostici!$L81&lt;&gt;"",Pronostici!$M81&lt;&gt;"",Pronostici!$L81=Partite!$G81,Pronostici!$M81=Partite!$H81),Config!$D$6,IF(AND($L81&lt;&gt;"",$L81=Partite!$I81),Config!$D$7,Config!$D$8)))</f>
        <v/>
      </c>
      <c r="G81" s="27">
        <f>IF(Partite!$K81&lt;&gt;"Giocata","",IF(AND(Pronostici!$O81&lt;&gt;"",Pronostici!$P81&lt;&gt;"",Pronostici!$O81=Partite!$G81,Pronostici!$P81=Partite!$H81),Config!$D$6,IF(AND($M81&lt;&gt;"",$M81=Partite!$I81),Config!$D$7,Config!$D$8)))</f>
        <v/>
      </c>
      <c r="H81" s="27">
        <f>IF(Partite!$K81&lt;&gt;"Giocata","",IF(AND(Pronostici!$R81&lt;&gt;"",Pronostici!$S81&lt;&gt;"",Pronostici!$R81=Partite!$G81,Pronostici!$S81=Partite!$H81),Config!$D$6,IF(AND($N81&lt;&gt;"",$N81=Partite!$I81),Config!$D$7,Config!$D$8)))</f>
        <v/>
      </c>
      <c r="J81" s="63">
        <f>IF(Pronostici!$E81&lt;&gt;"",UPPER(Pronostici!$E81),IF(OR(Pronostici!$F81="",Pronostici!$G81=""),"",IF(Pronostici!$F81&gt;Pronostici!$G81,"1",IF(Pronostici!$F81=Pronostici!$G81,"X","2"))))</f>
        <v/>
      </c>
      <c r="K81" s="63">
        <f>IF(Pronostici!$H81&lt;&gt;"",UPPER(Pronostici!$H81),IF(OR(Pronostici!$I81="",Pronostici!$J81=""),"",IF(Pronostici!$I81&gt;Pronostici!$J81,"1",IF(Pronostici!$I81=Pronostici!$J81,"X","2"))))</f>
        <v/>
      </c>
      <c r="L81" s="63">
        <f>IF(Pronostici!$K81&lt;&gt;"",UPPER(Pronostici!$K81),IF(OR(Pronostici!$L81="",Pronostici!$M81=""),"",IF(Pronostici!$L81&gt;Pronostici!$M81,"1",IF(Pronostici!$L81=Pronostici!$M81,"X","2"))))</f>
        <v/>
      </c>
      <c r="M81" s="63">
        <f>IF(Pronostici!$N81&lt;&gt;"",UPPER(Pronostici!$N81),IF(OR(Pronostici!$O81="",Pronostici!$P81=""),"",IF(Pronostici!$O81&gt;Pronostici!$P81,"1",IF(Pronostici!$O81=Pronostici!$P81,"X","2"))))</f>
        <v/>
      </c>
      <c r="N81" s="63">
        <f>IF(Pronostici!$Q81&lt;&gt;"",UPPER(Pronostici!$Q81),IF(OR(Pronostici!$R81="",Pronostici!$S81=""),"",IF(Pronostici!$R81&gt;Pronostici!$S81,"1",IF(Pronostici!$R81=Pronostici!$S81,"X","2"))))</f>
        <v/>
      </c>
    </row>
    <row r="82">
      <c r="A82" s="74">
        <f>Partite!$A82</f>
        <v/>
      </c>
      <c r="B82" s="30">
        <f>Partite!$B82</f>
        <v/>
      </c>
      <c r="C82" s="47">
        <f>IF(Partite!$E82="","",Partite!$E82&amp;"  -  "&amp;Partite!$F82)</f>
        <v/>
      </c>
      <c r="D82" s="27">
        <f>IF(Partite!$K82&lt;&gt;"Giocata","",IF(AND(Pronostici!$F82&lt;&gt;"",Pronostici!$G82&lt;&gt;"",Pronostici!$F82=Partite!$G82,Pronostici!$G82=Partite!$H82),Config!$D$6,IF(AND($J82&lt;&gt;"",$J82=Partite!$I82),Config!$D$7,Config!$D$8)))</f>
        <v/>
      </c>
      <c r="E82" s="27">
        <f>IF(Partite!$K82&lt;&gt;"Giocata","",IF(AND(Pronostici!$I82&lt;&gt;"",Pronostici!$J82&lt;&gt;"",Pronostici!$I82=Partite!$G82,Pronostici!$J82=Partite!$H82),Config!$D$6,IF(AND($K82&lt;&gt;"",$K82=Partite!$I82),Config!$D$7,Config!$D$8)))</f>
        <v/>
      </c>
      <c r="F82" s="27">
        <f>IF(Partite!$K82&lt;&gt;"Giocata","",IF(AND(Pronostici!$L82&lt;&gt;"",Pronostici!$M82&lt;&gt;"",Pronostici!$L82=Partite!$G82,Pronostici!$M82=Partite!$H82),Config!$D$6,IF(AND($L82&lt;&gt;"",$L82=Partite!$I82),Config!$D$7,Config!$D$8)))</f>
        <v/>
      </c>
      <c r="G82" s="27">
        <f>IF(Partite!$K82&lt;&gt;"Giocata","",IF(AND(Pronostici!$O82&lt;&gt;"",Pronostici!$P82&lt;&gt;"",Pronostici!$O82=Partite!$G82,Pronostici!$P82=Partite!$H82),Config!$D$6,IF(AND($M82&lt;&gt;"",$M82=Partite!$I82),Config!$D$7,Config!$D$8)))</f>
        <v/>
      </c>
      <c r="H82" s="27">
        <f>IF(Partite!$K82&lt;&gt;"Giocata","",IF(AND(Pronostici!$R82&lt;&gt;"",Pronostici!$S82&lt;&gt;"",Pronostici!$R82=Partite!$G82,Pronostici!$S82=Partite!$H82),Config!$D$6,IF(AND($N82&lt;&gt;"",$N82=Partite!$I82),Config!$D$7,Config!$D$8)))</f>
        <v/>
      </c>
      <c r="J82" s="63">
        <f>IF(Pronostici!$E82&lt;&gt;"",UPPER(Pronostici!$E82),IF(OR(Pronostici!$F82="",Pronostici!$G82=""),"",IF(Pronostici!$F82&gt;Pronostici!$G82,"1",IF(Pronostici!$F82=Pronostici!$G82,"X","2"))))</f>
        <v/>
      </c>
      <c r="K82" s="63">
        <f>IF(Pronostici!$H82&lt;&gt;"",UPPER(Pronostici!$H82),IF(OR(Pronostici!$I82="",Pronostici!$J82=""),"",IF(Pronostici!$I82&gt;Pronostici!$J82,"1",IF(Pronostici!$I82=Pronostici!$J82,"X","2"))))</f>
        <v/>
      </c>
      <c r="L82" s="63">
        <f>IF(Pronostici!$K82&lt;&gt;"",UPPER(Pronostici!$K82),IF(OR(Pronostici!$L82="",Pronostici!$M82=""),"",IF(Pronostici!$L82&gt;Pronostici!$M82,"1",IF(Pronostici!$L82=Pronostici!$M82,"X","2"))))</f>
        <v/>
      </c>
      <c r="M82" s="63">
        <f>IF(Pronostici!$N82&lt;&gt;"",UPPER(Pronostici!$N82),IF(OR(Pronostici!$O82="",Pronostici!$P82=""),"",IF(Pronostici!$O82&gt;Pronostici!$P82,"1",IF(Pronostici!$O82=Pronostici!$P82,"X","2"))))</f>
        <v/>
      </c>
      <c r="N82" s="63">
        <f>IF(Pronostici!$Q82&lt;&gt;"",UPPER(Pronostici!$Q82),IF(OR(Pronostici!$R82="",Pronostici!$S82=""),"",IF(Pronostici!$R82&gt;Pronostici!$S82,"1",IF(Pronostici!$R82=Pronostici!$S82,"X","2"))))</f>
        <v/>
      </c>
    </row>
  </sheetData>
  <mergeCells count="1">
    <mergeCell ref="A1:H1"/>
  </mergeCells>
  <conditionalFormatting sqref="D3:D82">
    <cfRule type="cellIs" priority="1" operator="greaterThanOrEqual" dxfId="0">
      <formula>3</formula>
    </cfRule>
    <cfRule type="cellIs" priority="2" operator="equal" dxfId="1">
      <formula>1</formula>
    </cfRule>
  </conditionalFormatting>
  <conditionalFormatting sqref="E3:E82">
    <cfRule type="cellIs" priority="3" operator="greaterThanOrEqual" dxfId="0">
      <formula>3</formula>
    </cfRule>
    <cfRule type="cellIs" priority="4" operator="equal" dxfId="1">
      <formula>1</formula>
    </cfRule>
  </conditionalFormatting>
  <conditionalFormatting sqref="F3:F82">
    <cfRule type="cellIs" priority="5" operator="greaterThanOrEqual" dxfId="0">
      <formula>3</formula>
    </cfRule>
    <cfRule type="cellIs" priority="6" operator="equal" dxfId="1">
      <formula>1</formula>
    </cfRule>
  </conditionalFormatting>
  <conditionalFormatting sqref="G3:G82">
    <cfRule type="cellIs" priority="7" operator="greaterThanOrEqual" dxfId="0">
      <formula>3</formula>
    </cfRule>
    <cfRule type="cellIs" priority="8" operator="equal" dxfId="1">
      <formula>1</formula>
    </cfRule>
  </conditionalFormatting>
  <conditionalFormatting sqref="H3:H8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2026-10-19T23:29:39Z</dcterms:created>
  <dcterms:modified xsi:type="dcterms:W3CDTF">2026-10-19T23:29:39Z</dcterms:modified>
</cp:coreProperties>
</file>