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'Partite'!$A$2:$K$102</definedName>
    <definedName name="_xlnm._FilterDatabase" localSheetId="2" hidden="1">'Pronostici'!$A$2:$D$102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'Classifica'!$A$33:$A$42</f>
            </numRef>
          </cat>
          <val>
            <numRef>
              <f>'Classifica'!$R$33:$R$42</f>
            </numRef>
          </val>
          <smooth val="0"/>
        </ser>
        <ser>
          <idx val="1"/>
          <order val="1"/>
          <tx>
            <strRef>
              <f>'Classifica'!S32</f>
            </strRef>
          </tx>
          <spPr>
            <a:ln w="22000">
              <a:solidFill>
                <a:srgbClr val="3E8E5A"/>
              </a:solidFill>
              <a:prstDash val="solid"/>
            </a:ln>
          </spPr>
          <marker>
            <symbol val="circle"/>
            <size val="6"/>
            <spPr>
              <a:ln>
                <a:prstDash val="solid"/>
              </a:ln>
            </spPr>
          </marker>
          <cat>
            <numRef>
              <f>'Classifica'!$A$33:$A$42</f>
            </numRef>
          </cat>
          <val>
            <numRef>
              <f>'Classifica'!$S$33:$S$42</f>
            </numRef>
          </val>
          <smooth val="0"/>
        </ser>
        <ser>
          <idx val="2"/>
          <order val="2"/>
          <tx>
            <strRef>
              <f>'Classifica'!T32</f>
            </strRef>
          </tx>
          <spPr>
            <a:ln w="22000">
              <a:solidFill>
                <a:srgbClr val="C2622F"/>
              </a:solidFill>
              <a:prstDash val="solid"/>
            </a:ln>
          </spPr>
          <marker>
            <symbol val="circle"/>
            <size val="6"/>
            <spPr>
              <a:ln>
                <a:prstDash val="solid"/>
              </a:ln>
            </spPr>
          </marker>
          <cat>
            <numRef>
              <f>'Classifica'!$A$33:$A$42</f>
            </numRef>
          </cat>
          <val>
            <numRef>
              <f>'Classifica'!$T$33:$T$42</f>
            </numRef>
          </val>
          <smooth val="0"/>
        </ser>
        <ser>
          <idx val="3"/>
          <order val="3"/>
          <tx>
            <strRef>
              <f>'Classifica'!U32</f>
            </strRef>
          </tx>
          <spPr>
            <a:ln w="22000">
              <a:solidFill>
                <a:srgbClr val="6A56A8"/>
              </a:solidFill>
              <a:prstDash val="solid"/>
            </a:ln>
          </spPr>
          <marker>
            <symbol val="circle"/>
            <size val="6"/>
            <spPr>
              <a:ln>
                <a:prstDash val="solid"/>
              </a:ln>
            </spPr>
          </marker>
          <cat>
            <numRef>
              <f>'Classifica'!$A$33:$A$42</f>
            </numRef>
          </cat>
          <val>
            <numRef>
              <f>'Classifica'!$U$33:$U$42</f>
            </numRef>
          </val>
          <smooth val="0"/>
        </ser>
        <ser>
          <idx val="4"/>
          <order val="4"/>
          <tx>
            <strRef>
              <f>'Classifica'!V32</f>
            </strRef>
          </tx>
          <spPr>
            <a:ln w="22000">
              <a:solidFill>
                <a:srgbClr val="B08A1E"/>
              </a:solidFill>
              <a:prstDash val="solid"/>
            </a:ln>
          </spPr>
          <marker>
            <symbol val="circle"/>
            <size val="6"/>
            <spPr>
              <a:ln>
                <a:prstDash val="solid"/>
              </a:ln>
            </spPr>
          </marker>
          <cat>
            <numRef>
              <f>'Classifica'!$A$33:$A$42</f>
            </numRef>
          </cat>
          <val>
            <numRef>
              <f>'Classifica'!$V$33:$V$42</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2"/>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COUNTIF($B$33:$B$42,"Completata")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COUNTIF($B$33:$B$42,"Completata")+COUNTIF($B$33:$B$42,"In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IF($L$5=0,"-",SUMPRODUCT(MAX(($B$33:$B$42="Completata")*$A$33:$A$42)))</f>
        <v/>
      </c>
    </row>
    <row r="8">
      <c r="K8" s="12" t="inlineStr">
        <is>
          <t>Prossima da giocare</t>
        </is>
      </c>
      <c r="L8" s="13">
        <f>IF(SUMPRODUCT(MIN(($B$33:$B$42&lt;&gt;"Completata")*$A$33:$A$42+($B$33:$B$42="Completata")*999))&gt;=999,"-",SUMPRODUCT(MIN(($B$33:$B$42&lt;&gt;"Completata")*$A$33:$A$42+($B$33:$B$42="Completata")*999)))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SUM(Punti!$D$3:$D$102)</f>
        <v/>
      </c>
      <c r="D12" s="25">
        <f>COUNTIF(Punti!$D$3:$D$102,Config!$D$7)+COUNTIF(Punti!$D$3:$D$102,Config!$D$6)</f>
        <v/>
      </c>
      <c r="E12" s="25">
        <f>COUNTIF(Punti!$D$3:$D$102,Config!$D$6)</f>
        <v/>
      </c>
      <c r="F12" s="25">
        <f>SUMPRODUCT(((Pronostici!$E$3:$E$102&lt;&gt;"")+(Pronostici!$F$3:$F$102&lt;&gt;""))*1&gt;0)</f>
        <v/>
      </c>
      <c r="G12" s="26">
        <f>IF($L$6=0,0,$C12/$L$6)</f>
        <v/>
      </c>
      <c r="H12" s="25">
        <f>SUMPRODUCT(($C$33:$C$42=$H$33:$H$42)*($H$33:$H$42&gt;0)*($B$33:$B$42="Completata"))</f>
        <v/>
      </c>
    </row>
    <row r="13" ht="20" customHeight="1">
      <c r="A13" s="27">
        <f>SUMPRODUCT((($C$12:$C$16*1000+$E$12:$E$16)&gt;($C13*1000+$E13))*1)+1</f>
        <v/>
      </c>
      <c r="B13" s="28">
        <f>Config!$A$7</f>
        <v/>
      </c>
      <c r="C13" s="29">
        <f>SUM(Punti!$E$3:$E$102)</f>
        <v/>
      </c>
      <c r="D13" s="30">
        <f>COUNTIF(Punti!$E$3:$E$102,Config!$D$7)+COUNTIF(Punti!$E$3:$E$102,Config!$D$6)</f>
        <v/>
      </c>
      <c r="E13" s="30">
        <f>COUNTIF(Punti!$E$3:$E$102,Config!$D$6)</f>
        <v/>
      </c>
      <c r="F13" s="30">
        <f>SUMPRODUCT(((Pronostici!$H$3:$H$102&lt;&gt;"")+(Pronostici!$I$3:$I$102&lt;&gt;""))*1&gt;0)</f>
        <v/>
      </c>
      <c r="G13" s="31">
        <f>IF($L$6=0,0,$C13/$L$6)</f>
        <v/>
      </c>
      <c r="H13" s="30">
        <f>SUMPRODUCT(($D$33:$D$42=$H$33:$H$42)*($H$33:$H$42&gt;0)*($B$33:$B$42="Completata"))</f>
        <v/>
      </c>
    </row>
    <row r="14" ht="20" customHeight="1">
      <c r="A14" s="22">
        <f>SUMPRODUCT((($C$12:$C$16*1000+$E$12:$E$16)&gt;($C14*1000+$E14))*1)+1</f>
        <v/>
      </c>
      <c r="B14" s="32">
        <f>Config!$A$8</f>
        <v/>
      </c>
      <c r="C14" s="24">
        <f>SUM(Punti!$F$3:$F$102)</f>
        <v/>
      </c>
      <c r="D14" s="25">
        <f>COUNTIF(Punti!$F$3:$F$102,Config!$D$7)+COUNTIF(Punti!$F$3:$F$102,Config!$D$6)</f>
        <v/>
      </c>
      <c r="E14" s="25">
        <f>COUNTIF(Punti!$F$3:$F$102,Config!$D$6)</f>
        <v/>
      </c>
      <c r="F14" s="25">
        <f>SUMPRODUCT(((Pronostici!$K$3:$K$102&lt;&gt;"")+(Pronostici!$L$3:$L$102&lt;&gt;""))*1&gt;0)</f>
        <v/>
      </c>
      <c r="G14" s="26">
        <f>IF($L$6=0,0,$C14/$L$6)</f>
        <v/>
      </c>
      <c r="H14" s="25">
        <f>SUMPRODUCT(($E$33:$E$42=$H$33:$H$42)*($H$33:$H$42&gt;0)*($B$33:$B$42="Completata"))</f>
        <v/>
      </c>
    </row>
    <row r="15" ht="20" customHeight="1">
      <c r="A15" s="27">
        <f>SUMPRODUCT((($C$12:$C$16*1000+$E$12:$E$16)&gt;($C15*1000+$E15))*1)+1</f>
        <v/>
      </c>
      <c r="B15" s="33">
        <f>Config!$A$9</f>
        <v/>
      </c>
      <c r="C15" s="29">
        <f>SUM(Punti!$G$3:$G$102)</f>
        <v/>
      </c>
      <c r="D15" s="30">
        <f>COUNTIF(Punti!$G$3:$G$102,Config!$D$7)+COUNTIF(Punti!$G$3:$G$102,Config!$D$6)</f>
        <v/>
      </c>
      <c r="E15" s="30">
        <f>COUNTIF(Punti!$G$3:$G$102,Config!$D$6)</f>
        <v/>
      </c>
      <c r="F15" s="30">
        <f>SUMPRODUCT(((Pronostici!$N$3:$N$102&lt;&gt;"")+(Pronostici!$O$3:$O$102&lt;&gt;""))*1&gt;0)</f>
        <v/>
      </c>
      <c r="G15" s="31">
        <f>IF($L$6=0,0,$C15/$L$6)</f>
        <v/>
      </c>
      <c r="H15" s="30">
        <f>SUMPRODUCT(($F$33:$F$42=$H$33:$H$42)*($H$33:$H$42&gt;0)*($B$33:$B$42="Completata"))</f>
        <v/>
      </c>
    </row>
    <row r="16" ht="20" customHeight="1">
      <c r="A16" s="22">
        <f>SUMPRODUCT((($C$12:$C$16*1000+$E$12:$E$16)&gt;($C16*1000+$E16))*1)+1</f>
        <v/>
      </c>
      <c r="B16" s="34">
        <f>Config!$A$10</f>
        <v/>
      </c>
      <c r="C16" s="24">
        <f>SUM(Punti!$H$3:$H$102)</f>
        <v/>
      </c>
      <c r="D16" s="25">
        <f>COUNTIF(Punti!$H$3:$H$102,Config!$D$7)+COUNTIF(Punti!$H$3:$H$102,Config!$D$6)</f>
        <v/>
      </c>
      <c r="E16" s="25">
        <f>COUNTIF(Punti!$H$3:$H$102,Config!$D$6)</f>
        <v/>
      </c>
      <c r="F16" s="25">
        <f>SUMPRODUCT(((Pronostici!$Q$3:$Q$102&lt;&gt;"")+(Pronostici!$R$3:$R$102&lt;&gt;""))*1&gt;0)</f>
        <v/>
      </c>
      <c r="G16" s="26">
        <f>IF($L$6=0,0,$C16/$L$6)</f>
        <v/>
      </c>
      <c r="H16" s="25">
        <f>SUMPRODUCT(($G$33:$G$42=$H$33:$H$42)*($H$33:$H$42&gt;0)*($B$33:$B$42="Completata"))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IF($L$7="-","-",IFERROR(INDEX($C$33:$C$42,MATCH($L$7,$A$33:$A$42,0)),"-"))</f>
        <v/>
      </c>
      <c r="D20" s="40">
        <f>IF($L$7="-","",IF(IFERROR(INDEX($C$33:$C$42,MATCH($L$7,$A$33:$A$42,0)),0)=IFERROR(INDEX($H$33:$H$42,MATCH($L$7,$A$33:$A$42,0)),-1),"RE DELLA GIORNATA",""))</f>
        <v/>
      </c>
      <c r="E20" s="41" t="n"/>
      <c r="K20" s="42">
        <f>IFERROR(INDEX(Partite!$E$3:$E$102,MATCH("G"&amp;TEXT($L$8,"00")&amp;"-"&amp;TEXT(1,"00"),Partite!$A$3:$A$102,0))&amp;"   -   "&amp;INDEX(Partite!$F$3:$F$102,MATCH("G"&amp;TEXT($L$8,"00")&amp;"-"&amp;TEXT(1,"00"),Partite!$A$3:$A$102,0)),"-")</f>
        <v/>
      </c>
      <c r="L20" s="43" t="n"/>
      <c r="M20" s="43" t="n"/>
      <c r="N20" s="44">
        <f>Config!$A$6</f>
        <v/>
      </c>
      <c r="O20" s="45">
        <f>IF($L$8="-","-",SUMPRODUCT((Pronostici!$B$3:$B$102=$L$8)*(((Pronostici!$E$3:$E$102&lt;&gt;"")+(Pronostici!$F$3:$F$102&lt;&gt;""))&gt;0))&amp;"/10")</f>
        <v/>
      </c>
    </row>
    <row r="21">
      <c r="B21" s="28">
        <f>Config!$A$7</f>
        <v/>
      </c>
      <c r="C21" s="24">
        <f>IF($L$7="-","-",IFERROR(INDEX($D$33:$D$42,MATCH($L$7,$A$33:$A$42,0)),"-"))</f>
        <v/>
      </c>
      <c r="D21" s="40">
        <f>IF($L$7="-","",IF(IFERROR(INDEX($D$33:$D$42,MATCH($L$7,$A$33:$A$42,0)),0)=IFERROR(INDEX($H$33:$H$42,MATCH($L$7,$A$33:$A$42,0)),-1),"RE DELLA GIORNATA",""))</f>
        <v/>
      </c>
      <c r="E21" s="41" t="n"/>
      <c r="K21" s="46">
        <f>IFERROR(INDEX(Partite!$E$3:$E$102,MATCH("G"&amp;TEXT($L$8,"00")&amp;"-"&amp;TEXT(2,"00"),Partite!$A$3:$A$102,0))&amp;"   -   "&amp;INDEX(Partite!$F$3:$F$102,MATCH("G"&amp;TEXT($L$8,"00")&amp;"-"&amp;TEXT(2,"00"),Partite!$A$3:$A$102,0)),"-")</f>
        <v/>
      </c>
      <c r="L21" s="47" t="n"/>
      <c r="M21" s="47" t="n"/>
      <c r="N21" s="48">
        <f>Config!$A$7</f>
        <v/>
      </c>
      <c r="O21" s="45">
        <f>IF($L$8="-","-",SUMPRODUCT((Pronostici!$B$3:$B$102=$L$8)*(((Pronostici!$H$3:$H$102&lt;&gt;"")+(Pronostici!$I$3:$I$102&lt;&gt;""))&gt;0))&amp;"/10")</f>
        <v/>
      </c>
    </row>
    <row r="22">
      <c r="B22" s="32">
        <f>Config!$A$8</f>
        <v/>
      </c>
      <c r="C22" s="24">
        <f>IF($L$7="-","-",IFERROR(INDEX($E$33:$E$42,MATCH($L$7,$A$33:$A$42,0)),"-"))</f>
        <v/>
      </c>
      <c r="D22" s="40">
        <f>IF($L$7="-","",IF(IFERROR(INDEX($E$33:$E$42,MATCH($L$7,$A$33:$A$42,0)),0)=IFERROR(INDEX($H$33:$H$42,MATCH($L$7,$A$33:$A$42,0)),-1),"RE DELLA GIORNATA",""))</f>
        <v/>
      </c>
      <c r="E22" s="41" t="n"/>
      <c r="K22" s="42">
        <f>IFERROR(INDEX(Partite!$E$3:$E$102,MATCH("G"&amp;TEXT($L$8,"00")&amp;"-"&amp;TEXT(3,"00"),Partite!$A$3:$A$102,0))&amp;"   -   "&amp;INDEX(Partite!$F$3:$F$102,MATCH("G"&amp;TEXT($L$8,"00")&amp;"-"&amp;TEXT(3,"00"),Partite!$A$3:$A$102,0)),"-")</f>
        <v/>
      </c>
      <c r="L22" s="43" t="n"/>
      <c r="M22" s="43" t="n"/>
      <c r="N22" s="49">
        <f>Config!$A$8</f>
        <v/>
      </c>
      <c r="O22" s="45">
        <f>IF($L$8="-","-",SUMPRODUCT((Pronostici!$B$3:$B$102=$L$8)*(((Pronostici!$K$3:$K$102&lt;&gt;"")+(Pronostici!$L$3:$L$102&lt;&gt;""))&gt;0))&amp;"/10")</f>
        <v/>
      </c>
    </row>
    <row r="23">
      <c r="B23" s="33">
        <f>Config!$A$9</f>
        <v/>
      </c>
      <c r="C23" s="24">
        <f>IF($L$7="-","-",IFERROR(INDEX($F$33:$F$42,MATCH($L$7,$A$33:$A$42,0)),"-"))</f>
        <v/>
      </c>
      <c r="D23" s="40">
        <f>IF($L$7="-","",IF(IFERROR(INDEX($F$33:$F$42,MATCH($L$7,$A$33:$A$42,0)),0)=IFERROR(INDEX($H$33:$H$42,MATCH($L$7,$A$33:$A$42,0)),-1),"RE DELLA GIORNATA",""))</f>
        <v/>
      </c>
      <c r="E23" s="41" t="n"/>
      <c r="K23" s="46">
        <f>IFERROR(INDEX(Partite!$E$3:$E$102,MATCH("G"&amp;TEXT($L$8,"00")&amp;"-"&amp;TEXT(4,"00"),Partite!$A$3:$A$102,0))&amp;"   -   "&amp;INDEX(Partite!$F$3:$F$102,MATCH("G"&amp;TEXT($L$8,"00")&amp;"-"&amp;TEXT(4,"00"),Partite!$A$3:$A$102,0)),"-")</f>
        <v/>
      </c>
      <c r="L23" s="47" t="n"/>
      <c r="M23" s="47" t="n"/>
      <c r="N23" s="50">
        <f>Config!$A$9</f>
        <v/>
      </c>
      <c r="O23" s="45">
        <f>IF($L$8="-","-",SUMPRODUCT((Pronostici!$B$3:$B$102=$L$8)*(((Pronostici!$N$3:$N$102&lt;&gt;"")+(Pronostici!$O$3:$O$102&lt;&gt;""))&gt;0))&amp;"/10")</f>
        <v/>
      </c>
    </row>
    <row r="24">
      <c r="B24" s="34">
        <f>Config!$A$10</f>
        <v/>
      </c>
      <c r="C24" s="24">
        <f>IF($L$7="-","-",IFERROR(INDEX($G$33:$G$42,MATCH($L$7,$A$33:$A$42,0)),"-"))</f>
        <v/>
      </c>
      <c r="D24" s="40">
        <f>IF($L$7="-","",IF(IFERROR(INDEX($G$33:$G$42,MATCH($L$7,$A$33:$A$42,0)),0)=IFERROR(INDEX($H$33:$H$42,MATCH($L$7,$A$33:$A$42,0)),-1),"RE DELLA GIORNATA",""))</f>
        <v/>
      </c>
      <c r="E24" s="41" t="n"/>
      <c r="K24" s="42">
        <f>IFERROR(INDEX(Partite!$E$3:$E$102,MATCH("G"&amp;TEXT($L$8,"00")&amp;"-"&amp;TEXT(5,"00"),Partite!$A$3:$A$102,0))&amp;"   -   "&amp;INDEX(Partite!$F$3:$F$102,MATCH("G"&amp;TEXT($L$8,"00")&amp;"-"&amp;TEXT(5,"00"),Partite!$A$3:$A$102,0)),"-")</f>
        <v/>
      </c>
      <c r="L24" s="43" t="n"/>
      <c r="M24" s="43" t="n"/>
      <c r="N24" s="51">
        <f>Config!$A$10</f>
        <v/>
      </c>
      <c r="O24" s="45">
        <f>IF($L$8="-","-",SUMPRODUCT((Pronostici!$B$3:$B$102=$L$8)*(((Pronostici!$Q$3:$Q$102&lt;&gt;"")+(Pronostici!$R$3:$R$102&lt;&gt;""))&gt;0))&amp;"/10")</f>
        <v/>
      </c>
    </row>
    <row r="25">
      <c r="K25" s="46">
        <f>IFERROR(INDEX(Partite!$E$3:$E$102,MATCH("G"&amp;TEXT($L$8,"00")&amp;"-"&amp;TEXT(6,"00"),Partite!$A$3:$A$102,0))&amp;"   -   "&amp;INDEX(Partite!$F$3:$F$102,MATCH("G"&amp;TEXT($L$8,"00")&amp;"-"&amp;TEXT(6,"00"),Partite!$A$3:$A$102,0)),"-")</f>
        <v/>
      </c>
      <c r="L25" s="47" t="n"/>
      <c r="M25" s="47" t="n"/>
      <c r="N25" s="35" t="inlineStr">
        <is>
          <t>chi e' sotto 10 non ha finito</t>
        </is>
      </c>
    </row>
    <row r="26">
      <c r="K26" s="42">
        <f>IFERROR(INDEX(Partite!$E$3:$E$102,MATCH("G"&amp;TEXT($L$8,"00")&amp;"-"&amp;TEXT(7,"00"),Partite!$A$3:$A$102,0))&amp;"   -   "&amp;INDEX(Partite!$F$3:$F$102,MATCH("G"&amp;TEXT($L$8,"00")&amp;"-"&amp;TEXT(7,"00"),Partite!$A$3:$A$102,0)),"-")</f>
        <v/>
      </c>
      <c r="L26" s="43" t="n"/>
      <c r="M26" s="43" t="n"/>
    </row>
    <row r="27">
      <c r="K27" s="46">
        <f>IFERROR(INDEX(Partite!$E$3:$E$102,MATCH("G"&amp;TEXT($L$8,"00")&amp;"-"&amp;TEXT(8,"00"),Partite!$A$3:$A$102,0))&amp;"   -   "&amp;INDEX(Partite!$F$3:$F$102,MATCH("G"&amp;TEXT($L$8,"00")&amp;"-"&amp;TEXT(8,"00"),Partite!$A$3:$A$102,0)),"-")</f>
        <v/>
      </c>
      <c r="L27" s="47" t="n"/>
      <c r="M27" s="47" t="n"/>
    </row>
    <row r="28">
      <c r="K28" s="42">
        <f>IFERROR(INDEX(Partite!$E$3:$E$102,MATCH("G"&amp;TEXT($L$8,"00")&amp;"-"&amp;TEXT(9,"00"),Partite!$A$3:$A$102,0))&amp;"   -   "&amp;INDEX(Partite!$F$3:$F$102,MATCH("G"&amp;TEXT($L$8,"00")&amp;"-"&amp;TEXT(9,"00"),Partite!$A$3:$A$102,0)),"-")</f>
        <v/>
      </c>
      <c r="L28" s="43" t="n"/>
      <c r="M28" s="43" t="n"/>
    </row>
    <row r="29">
      <c r="K29" s="46">
        <f>IFERROR(INDEX(Partite!$E$3:$E$102,MATCH("G"&amp;TEXT($L$8,"00")&amp;"-"&amp;TEXT(10,"00"),Partite!$A$3:$A$102,0))&amp;"   -   "&amp;INDEX(Partite!$F$3:$F$102,MATCH("G"&amp;TEXT($L$8,"00")&amp;"-"&amp;TEXT(10,"00"),Partite!$A$3:$A$102,0)),"-")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IF(COUNTIFS(Partite!$B$3:$B$102,$A33,Partite!$E$3:$E$102,"&lt;&gt;")=0,"Calendario mancante",IF(COUNTIFS(Partite!$B$3:$B$102,$A33,Partite!$K$3:$K$102,"Giocata")=0,"Non giocata",IF(COUNTIFS(Partite!$B$3:$B$102,$A33,Partite!$K$3:$K$102,"Giocata")=COUNTIFS(Partite!$B$3:$B$102,$A33,Partite!$E$3:$E$102,"&lt;&gt;"),"Completata","In corso")))</f>
        <v/>
      </c>
      <c r="C33" s="25">
        <f>SUMIF(Punti!$B$3:$B$102,$A33,Punti!$D$3:$D$102)</f>
        <v/>
      </c>
      <c r="D33" s="25">
        <f>SUMIF(Punti!$B$3:$B$102,$A33,Punti!$E$3:$E$102)</f>
        <v/>
      </c>
      <c r="E33" s="25">
        <f>SUMIF(Punti!$B$3:$B$102,$A33,Punti!$F$3:$F$102)</f>
        <v/>
      </c>
      <c r="F33" s="25">
        <f>SUMIF(Punti!$B$3:$B$102,$A33,Punti!$G$3:$G$102)</f>
        <v/>
      </c>
      <c r="G33" s="25">
        <f>SUMIF(Punti!$B$3:$B$102,$A33,Punti!$H$3:$H$102)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IF(COUNTIFS(Partite!$B$3:$B$102,$A34,Partite!$E$3:$E$102,"&lt;&gt;")=0,"Calendario mancante",IF(COUNTIFS(Partite!$B$3:$B$102,$A34,Partite!$K$3:$K$102,"Giocata")=0,"Non giocata",IF(COUNTIFS(Partite!$B$3:$B$102,$A34,Partite!$K$3:$K$102,"Giocata")=COUNTIFS(Partite!$B$3:$B$102,$A34,Partite!$E$3:$E$102,"&lt;&gt;"),"Completata","In corso")))</f>
        <v/>
      </c>
      <c r="C34" s="30">
        <f>SUMIF(Punti!$B$3:$B$102,$A34,Punti!$D$3:$D$102)</f>
        <v/>
      </c>
      <c r="D34" s="30">
        <f>SUMIF(Punti!$B$3:$B$102,$A34,Punti!$E$3:$E$102)</f>
        <v/>
      </c>
      <c r="E34" s="30">
        <f>SUMIF(Punti!$B$3:$B$102,$A34,Punti!$F$3:$F$102)</f>
        <v/>
      </c>
      <c r="F34" s="30">
        <f>SUMIF(Punti!$B$3:$B$102,$A34,Punti!$G$3:$G$102)</f>
        <v/>
      </c>
      <c r="G34" s="30">
        <f>SUMIF(Punti!$B$3:$B$102,$A34,Punti!$H$3:$H$102)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IF(COUNTIFS(Partite!$B$3:$B$102,$A35,Partite!$E$3:$E$102,"&lt;&gt;")=0,"Calendario mancante",IF(COUNTIFS(Partite!$B$3:$B$102,$A35,Partite!$K$3:$K$102,"Giocata")=0,"Non giocata",IF(COUNTIFS(Partite!$B$3:$B$102,$A35,Partite!$K$3:$K$102,"Giocata")=COUNTIFS(Partite!$B$3:$B$102,$A35,Partite!$E$3:$E$102,"&lt;&gt;"),"Completata","In corso")))</f>
        <v/>
      </c>
      <c r="C35" s="25">
        <f>SUMIF(Punti!$B$3:$B$102,$A35,Punti!$D$3:$D$102)</f>
        <v/>
      </c>
      <c r="D35" s="25">
        <f>SUMIF(Punti!$B$3:$B$102,$A35,Punti!$E$3:$E$102)</f>
        <v/>
      </c>
      <c r="E35" s="25">
        <f>SUMIF(Punti!$B$3:$B$102,$A35,Punti!$F$3:$F$102)</f>
        <v/>
      </c>
      <c r="F35" s="25">
        <f>SUMIF(Punti!$B$3:$B$102,$A35,Punti!$G$3:$G$102)</f>
        <v/>
      </c>
      <c r="G35" s="25">
        <f>SUMIF(Punti!$B$3:$B$102,$A35,Punti!$H$3:$H$102)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IF(COUNTIFS(Partite!$B$3:$B$102,$A36,Partite!$E$3:$E$102,"&lt;&gt;")=0,"Calendario mancante",IF(COUNTIFS(Partite!$B$3:$B$102,$A36,Partite!$K$3:$K$102,"Giocata")=0,"Non giocata",IF(COUNTIFS(Partite!$B$3:$B$102,$A36,Partite!$K$3:$K$102,"Giocata")=COUNTIFS(Partite!$B$3:$B$102,$A36,Partite!$E$3:$E$102,"&lt;&gt;"),"Completata","In corso")))</f>
        <v/>
      </c>
      <c r="C36" s="30">
        <f>SUMIF(Punti!$B$3:$B$102,$A36,Punti!$D$3:$D$102)</f>
        <v/>
      </c>
      <c r="D36" s="30">
        <f>SUMIF(Punti!$B$3:$B$102,$A36,Punti!$E$3:$E$102)</f>
        <v/>
      </c>
      <c r="E36" s="30">
        <f>SUMIF(Punti!$B$3:$B$102,$A36,Punti!$F$3:$F$102)</f>
        <v/>
      </c>
      <c r="F36" s="30">
        <f>SUMIF(Punti!$B$3:$B$102,$A36,Punti!$G$3:$G$102)</f>
        <v/>
      </c>
      <c r="G36" s="30">
        <f>SUMIF(Punti!$B$3:$B$102,$A36,Punti!$H$3:$H$102)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IF(COUNTIFS(Partite!$B$3:$B$102,$A37,Partite!$E$3:$E$102,"&lt;&gt;")=0,"Calendario mancante",IF(COUNTIFS(Partite!$B$3:$B$102,$A37,Partite!$K$3:$K$102,"Giocata")=0,"Non giocata",IF(COUNTIFS(Partite!$B$3:$B$102,$A37,Partite!$K$3:$K$102,"Giocata")=COUNTIFS(Partite!$B$3:$B$102,$A37,Partite!$E$3:$E$102,"&lt;&gt;"),"Completata","In corso")))</f>
        <v/>
      </c>
      <c r="C37" s="25">
        <f>SUMIF(Punti!$B$3:$B$102,$A37,Punti!$D$3:$D$102)</f>
        <v/>
      </c>
      <c r="D37" s="25">
        <f>SUMIF(Punti!$B$3:$B$102,$A37,Punti!$E$3:$E$102)</f>
        <v/>
      </c>
      <c r="E37" s="25">
        <f>SUMIF(Punti!$B$3:$B$102,$A37,Punti!$F$3:$F$102)</f>
        <v/>
      </c>
      <c r="F37" s="25">
        <f>SUMIF(Punti!$B$3:$B$102,$A37,Punti!$G$3:$G$102)</f>
        <v/>
      </c>
      <c r="G37" s="25">
        <f>SUMIF(Punti!$B$3:$B$102,$A37,Punti!$H$3:$H$102)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IF(COUNTIFS(Partite!$B$3:$B$102,$A38,Partite!$E$3:$E$102,"&lt;&gt;")=0,"Calendario mancante",IF(COUNTIFS(Partite!$B$3:$B$102,$A38,Partite!$K$3:$K$102,"Giocata")=0,"Non giocata",IF(COUNTIFS(Partite!$B$3:$B$102,$A38,Partite!$K$3:$K$102,"Giocata")=COUNTIFS(Partite!$B$3:$B$102,$A38,Partite!$E$3:$E$102,"&lt;&gt;"),"Completata","In corso")))</f>
        <v/>
      </c>
      <c r="C38" s="30">
        <f>SUMIF(Punti!$B$3:$B$102,$A38,Punti!$D$3:$D$102)</f>
        <v/>
      </c>
      <c r="D38" s="30">
        <f>SUMIF(Punti!$B$3:$B$102,$A38,Punti!$E$3:$E$102)</f>
        <v/>
      </c>
      <c r="E38" s="30">
        <f>SUMIF(Punti!$B$3:$B$102,$A38,Punti!$F$3:$F$102)</f>
        <v/>
      </c>
      <c r="F38" s="30">
        <f>SUMIF(Punti!$B$3:$B$102,$A38,Punti!$G$3:$G$102)</f>
        <v/>
      </c>
      <c r="G38" s="30">
        <f>SUMIF(Punti!$B$3:$B$102,$A38,Punti!$H$3:$H$102)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IF(COUNTIFS(Partite!$B$3:$B$102,$A39,Partite!$E$3:$E$102,"&lt;&gt;")=0,"Calendario mancante",IF(COUNTIFS(Partite!$B$3:$B$102,$A39,Partite!$K$3:$K$102,"Giocata")=0,"Non giocata",IF(COUNTIFS(Partite!$B$3:$B$102,$A39,Partite!$K$3:$K$102,"Giocata")=COUNTIFS(Partite!$B$3:$B$102,$A39,Partite!$E$3:$E$102,"&lt;&gt;"),"Completata","In corso")))</f>
        <v/>
      </c>
      <c r="C39" s="25">
        <f>SUMIF(Punti!$B$3:$B$102,$A39,Punti!$D$3:$D$102)</f>
        <v/>
      </c>
      <c r="D39" s="25">
        <f>SUMIF(Punti!$B$3:$B$102,$A39,Punti!$E$3:$E$102)</f>
        <v/>
      </c>
      <c r="E39" s="25">
        <f>SUMIF(Punti!$B$3:$B$102,$A39,Punti!$F$3:$F$102)</f>
        <v/>
      </c>
      <c r="F39" s="25">
        <f>SUMIF(Punti!$B$3:$B$102,$A39,Punti!$G$3:$G$102)</f>
        <v/>
      </c>
      <c r="G39" s="25">
        <f>SUMIF(Punti!$B$3:$B$102,$A39,Punti!$H$3:$H$102)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IF(COUNTIFS(Partite!$B$3:$B$102,$A40,Partite!$E$3:$E$102,"&lt;&gt;")=0,"Calendario mancante",IF(COUNTIFS(Partite!$B$3:$B$102,$A40,Partite!$K$3:$K$102,"Giocata")=0,"Non giocata",IF(COUNTIFS(Partite!$B$3:$B$102,$A40,Partite!$K$3:$K$102,"Giocata")=COUNTIFS(Partite!$B$3:$B$102,$A40,Partite!$E$3:$E$102,"&lt;&gt;"),"Completata","In corso")))</f>
        <v/>
      </c>
      <c r="C40" s="30">
        <f>SUMIF(Punti!$B$3:$B$102,$A40,Punti!$D$3:$D$102)</f>
        <v/>
      </c>
      <c r="D40" s="30">
        <f>SUMIF(Punti!$B$3:$B$102,$A40,Punti!$E$3:$E$102)</f>
        <v/>
      </c>
      <c r="E40" s="30">
        <f>SUMIF(Punti!$B$3:$B$102,$A40,Punti!$F$3:$F$102)</f>
        <v/>
      </c>
      <c r="F40" s="30">
        <f>SUMIF(Punti!$B$3:$B$102,$A40,Punti!$G$3:$G$102)</f>
        <v/>
      </c>
      <c r="G40" s="30">
        <f>SUMIF(Punti!$B$3:$B$102,$A40,Punti!$H$3:$H$102)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IF(COUNTIFS(Partite!$B$3:$B$102,$A41,Partite!$E$3:$E$102,"&lt;&gt;")=0,"Calendario mancante",IF(COUNTIFS(Partite!$B$3:$B$102,$A41,Partite!$K$3:$K$102,"Giocata")=0,"Non giocata",IF(COUNTIFS(Partite!$B$3:$B$102,$A41,Partite!$K$3:$K$102,"Giocata")=COUNTIFS(Partite!$B$3:$B$102,$A41,Partite!$E$3:$E$102,"&lt;&gt;"),"Completata","In corso")))</f>
        <v/>
      </c>
      <c r="C41" s="25">
        <f>SUMIF(Punti!$B$3:$B$102,$A41,Punti!$D$3:$D$102)</f>
        <v/>
      </c>
      <c r="D41" s="25">
        <f>SUMIF(Punti!$B$3:$B$102,$A41,Punti!$E$3:$E$102)</f>
        <v/>
      </c>
      <c r="E41" s="25">
        <f>SUMIF(Punti!$B$3:$B$102,$A41,Punti!$F$3:$F$102)</f>
        <v/>
      </c>
      <c r="F41" s="25">
        <f>SUMIF(Punti!$B$3:$B$102,$A41,Punti!$G$3:$G$102)</f>
        <v/>
      </c>
      <c r="G41" s="25">
        <f>SUMIF(Punti!$B$3:$B$102,$A41,Punti!$H$3:$H$102)</f>
        <v/>
      </c>
      <c r="H41" s="61">
        <f>MAX($C41:$G41)</f>
        <v/>
      </c>
      <c r="I41" s="62">
        <f>IF($H41&lt;=0,"-",INDEX($C$32:$G$32,MATCH($H41,$C41:$G41,0))&amp;IF(COUNTIF($C41:$G41,$H41)&gt;1," (a pari)","")&amp;IF($B41="Completata",""," - in corso"))</f>
        <v/>
      </c>
      <c r="R41" s="63">
        <f>R40+C41</f>
        <v/>
      </c>
      <c r="S41" s="63">
        <f>S40+D41</f>
        <v/>
      </c>
      <c r="T41" s="63">
        <f>T40+E41</f>
        <v/>
      </c>
      <c r="U41" s="63">
        <f>U40+F41</f>
        <v/>
      </c>
      <c r="V41" s="63">
        <f>V40+G41</f>
        <v/>
      </c>
    </row>
    <row r="42">
      <c r="A42" s="27" t="n">
        <v>11</v>
      </c>
      <c r="B42" s="47">
        <f>IF(COUNTIFS(Partite!$B$3:$B$102,$A42,Partite!$E$3:$E$102,"&lt;&gt;")=0,"Calendario mancante",IF(COUNTIFS(Partite!$B$3:$B$102,$A42,Partite!$K$3:$K$102,"Giocata")=0,"Non giocata",IF(COUNTIFS(Partite!$B$3:$B$102,$A42,Partite!$K$3:$K$102,"Giocata")=COUNTIFS(Partite!$B$3:$B$102,$A42,Partite!$E$3:$E$102,"&lt;&gt;"),"Completata","In corso")))</f>
        <v/>
      </c>
      <c r="C42" s="30">
        <f>SUMIF(Punti!$B$3:$B$102,$A42,Punti!$D$3:$D$102)</f>
        <v/>
      </c>
      <c r="D42" s="30">
        <f>SUMIF(Punti!$B$3:$B$102,$A42,Punti!$E$3:$E$102)</f>
        <v/>
      </c>
      <c r="E42" s="30">
        <f>SUMIF(Punti!$B$3:$B$102,$A42,Punti!$F$3:$F$102)</f>
        <v/>
      </c>
      <c r="F42" s="30">
        <f>SUMIF(Punti!$B$3:$B$102,$A42,Punti!$G$3:$G$102)</f>
        <v/>
      </c>
      <c r="G42" s="30">
        <f>SUMIF(Punti!$B$3:$B$102,$A42,Punti!$H$3:$H$102)</f>
        <v/>
      </c>
      <c r="H42" s="61">
        <f>MAX($C42:$G42)</f>
        <v/>
      </c>
      <c r="I42" s="64">
        <f>IF($H42&lt;=0,"-",INDEX($C$32:$G$32,MATCH($H42,$C42:$G42,0))&amp;IF(COUNTIF($C42:$G42,$H42)&gt;1," (a pari)","")&amp;IF($B42="Completata",""," - in corso"))</f>
        <v/>
      </c>
      <c r="R42" s="63">
        <f>R41+C42</f>
        <v/>
      </c>
      <c r="S42" s="63">
        <f>S41+D42</f>
        <v/>
      </c>
      <c r="T42" s="63">
        <f>T41+E42</f>
        <v/>
      </c>
      <c r="U42" s="63">
        <f>U41+F42</f>
        <v/>
      </c>
      <c r="V42" s="63">
        <f>V41+G42</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2">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10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v>2</v>
      </c>
      <c r="H73" s="71" t="n">
        <v>6</v>
      </c>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v>4</v>
      </c>
      <c r="H74" s="71" t="n">
        <v>2</v>
      </c>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v>1</v>
      </c>
      <c r="H75" s="71" t="n">
        <v>3</v>
      </c>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v>2</v>
      </c>
      <c r="H76" s="71" t="n">
        <v>4</v>
      </c>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v>0</v>
      </c>
      <c r="H77" s="71" t="n">
        <v>0</v>
      </c>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v>0</v>
      </c>
      <c r="H78" s="71" t="n">
        <v>2</v>
      </c>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v>2</v>
      </c>
      <c r="H79" s="71" t="n">
        <v>0</v>
      </c>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v>1</v>
      </c>
      <c r="H80" s="71" t="n">
        <v>4</v>
      </c>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v>5</v>
      </c>
      <c r="H81" s="71" t="n">
        <v>1</v>
      </c>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v>2</v>
      </c>
      <c r="H82" s="71" t="n">
        <v>2</v>
      </c>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row r="93">
      <c r="A93" s="74" t="inlineStr">
        <is>
          <t>G11-01</t>
        </is>
      </c>
      <c r="B93" s="30" t="n">
        <v>11</v>
      </c>
      <c r="C93" s="30" t="inlineStr">
        <is>
          <t>06/11/2026</t>
        </is>
      </c>
      <c r="D93" s="30" t="inlineStr">
        <is>
          <t>20:45</t>
        </is>
      </c>
      <c r="E93" s="75" t="inlineStr">
        <is>
          <t>Venezia</t>
        </is>
      </c>
      <c r="F93" s="75" t="inlineStr">
        <is>
          <t>Udinese</t>
        </is>
      </c>
      <c r="G93" s="71" t="n"/>
      <c r="H93" s="71" t="n"/>
      <c r="I93" s="76">
        <f>IF(OR($G93="",$H93=""),"",IF($G93&gt;$H93,"1",IF($G93=$H93,"X","2")))</f>
        <v/>
      </c>
      <c r="J93" s="30">
        <f>IF(OR($G93="",$H93=""),"",$G93&amp;"-"&amp;$H93)</f>
        <v/>
      </c>
      <c r="K93" s="77">
        <f>IF($E93="","Calendario da inserire",IF(OR($G93="",$H93=""),"Da giocare","Giocata"))</f>
        <v/>
      </c>
    </row>
    <row r="94">
      <c r="A94" s="74" t="inlineStr">
        <is>
          <t>G11-02</t>
        </is>
      </c>
      <c r="B94" s="30" t="n">
        <v>11</v>
      </c>
      <c r="C94" s="30" t="inlineStr">
        <is>
          <t>07/11/2026</t>
        </is>
      </c>
      <c r="D94" s="30" t="inlineStr">
        <is>
          <t>15:00</t>
        </is>
      </c>
      <c r="E94" s="75" t="inlineStr">
        <is>
          <t>Cagliari</t>
        </is>
      </c>
      <c r="F94" s="75" t="inlineStr">
        <is>
          <t>Frosinone</t>
        </is>
      </c>
      <c r="G94" s="71" t="n"/>
      <c r="H94" s="71" t="n"/>
      <c r="I94" s="76">
        <f>IF(OR($G94="",$H94=""),"",IF($G94&gt;$H94,"1",IF($G94=$H94,"X","2")))</f>
        <v/>
      </c>
      <c r="J94" s="30">
        <f>IF(OR($G94="",$H94=""),"",$G94&amp;"-"&amp;$H94)</f>
        <v/>
      </c>
      <c r="K94" s="77">
        <f>IF($E94="","Calendario da inserire",IF(OR($G94="",$H94=""),"Da giocare","Giocata"))</f>
        <v/>
      </c>
    </row>
    <row r="95">
      <c r="A95" s="74" t="inlineStr">
        <is>
          <t>G11-03</t>
        </is>
      </c>
      <c r="B95" s="30" t="n">
        <v>11</v>
      </c>
      <c r="C95" s="30" t="inlineStr">
        <is>
          <t>07/11/2026</t>
        </is>
      </c>
      <c r="D95" s="30" t="inlineStr">
        <is>
          <t>15:00</t>
        </is>
      </c>
      <c r="E95" s="75" t="inlineStr">
        <is>
          <t>Torino</t>
        </is>
      </c>
      <c r="F95" s="75" t="inlineStr">
        <is>
          <t>Lecce</t>
        </is>
      </c>
      <c r="G95" s="71" t="n"/>
      <c r="H95" s="71" t="n"/>
      <c r="I95" s="76">
        <f>IF(OR($G95="",$H95=""),"",IF($G95&gt;$H95,"1",IF($G95=$H95,"X","2")))</f>
        <v/>
      </c>
      <c r="J95" s="30">
        <f>IF(OR($G95="",$H95=""),"",$G95&amp;"-"&amp;$H95)</f>
        <v/>
      </c>
      <c r="K95" s="77">
        <f>IF($E95="","Calendario da inserire",IF(OR($G95="",$H95=""),"Da giocare","Giocata"))</f>
        <v/>
      </c>
    </row>
    <row r="96">
      <c r="A96" s="74" t="inlineStr">
        <is>
          <t>G11-04</t>
        </is>
      </c>
      <c r="B96" s="30" t="n">
        <v>11</v>
      </c>
      <c r="C96" s="30" t="inlineStr">
        <is>
          <t>07/11/2026</t>
        </is>
      </c>
      <c r="D96" s="30" t="inlineStr">
        <is>
          <t>18:00</t>
        </is>
      </c>
      <c r="E96" s="75" t="inlineStr">
        <is>
          <t>Parma</t>
        </is>
      </c>
      <c r="F96" s="75" t="inlineStr">
        <is>
          <t>Bologna</t>
        </is>
      </c>
      <c r="G96" s="71" t="n"/>
      <c r="H96" s="71" t="n"/>
      <c r="I96" s="76">
        <f>IF(OR($G96="",$H96=""),"",IF($G96&gt;$H96,"1",IF($G96=$H96,"X","2")))</f>
        <v/>
      </c>
      <c r="J96" s="30">
        <f>IF(OR($G96="",$H96=""),"",$G96&amp;"-"&amp;$H96)</f>
        <v/>
      </c>
      <c r="K96" s="77">
        <f>IF($E96="","Calendario da inserire",IF(OR($G96="",$H96=""),"Da giocare","Giocata"))</f>
        <v/>
      </c>
    </row>
    <row r="97">
      <c r="A97" s="74" t="inlineStr">
        <is>
          <t>G11-05</t>
        </is>
      </c>
      <c r="B97" s="30" t="n">
        <v>11</v>
      </c>
      <c r="C97" s="30" t="inlineStr">
        <is>
          <t>07/11/2026</t>
        </is>
      </c>
      <c r="D97" s="30" t="inlineStr">
        <is>
          <t>20:45</t>
        </is>
      </c>
      <c r="E97" s="75" t="inlineStr">
        <is>
          <t>Roma</t>
        </is>
      </c>
      <c r="F97" s="75" t="inlineStr">
        <is>
          <t>Sassuolo</t>
        </is>
      </c>
      <c r="G97" s="71" t="n"/>
      <c r="H97" s="71" t="n"/>
      <c r="I97" s="76">
        <f>IF(OR($G97="",$H97=""),"",IF($G97&gt;$H97,"1",IF($G97=$H97,"X","2")))</f>
        <v/>
      </c>
      <c r="J97" s="30">
        <f>IF(OR($G97="",$H97=""),"",$G97&amp;"-"&amp;$H97)</f>
        <v/>
      </c>
      <c r="K97" s="77">
        <f>IF($E97="","Calendario da inserire",IF(OR($G97="",$H97=""),"Da giocare","Giocata"))</f>
        <v/>
      </c>
    </row>
    <row r="98">
      <c r="A98" s="74" t="inlineStr">
        <is>
          <t>G11-06</t>
        </is>
      </c>
      <c r="B98" s="30" t="n">
        <v>11</v>
      </c>
      <c r="C98" s="30" t="inlineStr">
        <is>
          <t>08/11/2026</t>
        </is>
      </c>
      <c r="D98" s="30" t="inlineStr">
        <is>
          <t>12:30</t>
        </is>
      </c>
      <c r="E98" s="75" t="inlineStr">
        <is>
          <t>Napoli</t>
        </is>
      </c>
      <c r="F98" s="75" t="inlineStr">
        <is>
          <t>Lazio</t>
        </is>
      </c>
      <c r="G98" s="71" t="n"/>
      <c r="H98" s="71" t="n"/>
      <c r="I98" s="76">
        <f>IF(OR($G98="",$H98=""),"",IF($G98&gt;$H98,"1",IF($G98=$H98,"X","2")))</f>
        <v/>
      </c>
      <c r="J98" s="30">
        <f>IF(OR($G98="",$H98=""),"",$G98&amp;"-"&amp;$H98)</f>
        <v/>
      </c>
      <c r="K98" s="77">
        <f>IF($E98="","Calendario da inserire",IF(OR($G98="",$H98=""),"Da giocare","Giocata"))</f>
        <v/>
      </c>
    </row>
    <row r="99">
      <c r="A99" s="74" t="inlineStr">
        <is>
          <t>G11-07</t>
        </is>
      </c>
      <c r="B99" s="30" t="n">
        <v>11</v>
      </c>
      <c r="C99" s="30" t="inlineStr">
        <is>
          <t>08/11/2026</t>
        </is>
      </c>
      <c r="D99" s="30" t="inlineStr">
        <is>
          <t>15:00</t>
        </is>
      </c>
      <c r="E99" s="75" t="inlineStr">
        <is>
          <t>Genoa</t>
        </is>
      </c>
      <c r="F99" s="75" t="inlineStr">
        <is>
          <t>Milan</t>
        </is>
      </c>
      <c r="G99" s="71" t="n"/>
      <c r="H99" s="71" t="n"/>
      <c r="I99" s="76">
        <f>IF(OR($G99="",$H99=""),"",IF($G99&gt;$H99,"1",IF($G99=$H99,"X","2")))</f>
        <v/>
      </c>
      <c r="J99" s="30">
        <f>IF(OR($G99="",$H99=""),"",$G99&amp;"-"&amp;$H99)</f>
        <v/>
      </c>
      <c r="K99" s="77">
        <f>IF($E99="","Calendario da inserire",IF(OR($G99="",$H99=""),"Da giocare","Giocata"))</f>
        <v/>
      </c>
    </row>
    <row r="100">
      <c r="A100" s="74" t="inlineStr">
        <is>
          <t>G11-08</t>
        </is>
      </c>
      <c r="B100" s="30" t="n">
        <v>11</v>
      </c>
      <c r="C100" s="30" t="inlineStr">
        <is>
          <t>08/11/2026</t>
        </is>
      </c>
      <c r="D100" s="30" t="inlineStr">
        <is>
          <t>15:00</t>
        </is>
      </c>
      <c r="E100" s="75" t="inlineStr">
        <is>
          <t>Monza</t>
        </is>
      </c>
      <c r="F100" s="75" t="inlineStr">
        <is>
          <t>Atalanta</t>
        </is>
      </c>
      <c r="G100" s="71" t="n"/>
      <c r="H100" s="71" t="n"/>
      <c r="I100" s="76">
        <f>IF(OR($G100="",$H100=""),"",IF($G100&gt;$H100,"1",IF($G100=$H100,"X","2")))</f>
        <v/>
      </c>
      <c r="J100" s="30">
        <f>IF(OR($G100="",$H100=""),"",$G100&amp;"-"&amp;$H100)</f>
        <v/>
      </c>
      <c r="K100" s="77">
        <f>IF($E100="","Calendario da inserire",IF(OR($G100="",$H100=""),"Da giocare","Giocata"))</f>
        <v/>
      </c>
    </row>
    <row r="101">
      <c r="A101" s="74" t="inlineStr">
        <is>
          <t>G11-09</t>
        </is>
      </c>
      <c r="B101" s="30" t="n">
        <v>11</v>
      </c>
      <c r="C101" s="30" t="inlineStr">
        <is>
          <t>08/11/2026</t>
        </is>
      </c>
      <c r="D101" s="30" t="inlineStr">
        <is>
          <t>18:00</t>
        </is>
      </c>
      <c r="E101" s="75" t="inlineStr">
        <is>
          <t>Inter</t>
        </is>
      </c>
      <c r="F101" s="75" t="inlineStr">
        <is>
          <t>Como</t>
        </is>
      </c>
      <c r="G101" s="71" t="n"/>
      <c r="H101" s="71" t="n"/>
      <c r="I101" s="76">
        <f>IF(OR($G101="",$H101=""),"",IF($G101&gt;$H101,"1",IF($G101=$H101,"X","2")))</f>
        <v/>
      </c>
      <c r="J101" s="30">
        <f>IF(OR($G101="",$H101=""),"",$G101&amp;"-"&amp;$H101)</f>
        <v/>
      </c>
      <c r="K101" s="77">
        <f>IF($E101="","Calendario da inserire",IF(OR($G101="",$H101=""),"Da giocare","Giocata"))</f>
        <v/>
      </c>
    </row>
    <row r="102">
      <c r="A102" s="74" t="inlineStr">
        <is>
          <t>G11-10</t>
        </is>
      </c>
      <c r="B102" s="30" t="n">
        <v>11</v>
      </c>
      <c r="C102" s="30" t="inlineStr">
        <is>
          <t>08/11/2026</t>
        </is>
      </c>
      <c r="D102" s="30" t="inlineStr">
        <is>
          <t>20:45</t>
        </is>
      </c>
      <c r="E102" s="75" t="inlineStr">
        <is>
          <t>Fiorentina</t>
        </is>
      </c>
      <c r="F102" s="75" t="inlineStr">
        <is>
          <t>Juventus</t>
        </is>
      </c>
      <c r="G102" s="71" t="n"/>
      <c r="H102" s="71" t="n"/>
      <c r="I102" s="76">
        <f>IF(OR($G102="",$H102=""),"",IF($G102&gt;$H102,"1",IF($G102=$H102,"X","2")))</f>
        <v/>
      </c>
      <c r="J102" s="30">
        <f>IF(OR($G102="",$H102=""),"",$G102&amp;"-"&amp;$H102)</f>
        <v/>
      </c>
      <c r="K102" s="77">
        <f>IF($E102="","Calendario da inserire",IF(OR($G102="",$H102=""),"Da giocare","Giocata"))</f>
        <v/>
      </c>
    </row>
  </sheetData>
  <autoFilter ref="A2:K102"/>
  <mergeCells count="3">
    <mergeCell ref="G1:H1"/>
    <mergeCell ref="A1:F1"/>
    <mergeCell ref="I1:K1"/>
  </mergeCells>
  <conditionalFormatting sqref="K3:K10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10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row r="93">
      <c r="A93" s="74">
        <f>Partite!$A93</f>
        <v/>
      </c>
      <c r="B93" s="30">
        <f>Partite!$B93</f>
        <v/>
      </c>
      <c r="C93" s="75">
        <f>IF(Partite!$E93="","",Partite!$E93)</f>
        <v/>
      </c>
      <c r="D93" s="75">
        <f>IF(Partite!$F93="","",Partite!$F93)</f>
        <v/>
      </c>
      <c r="E93" s="71" t="n"/>
      <c r="F93" s="71" t="n"/>
      <c r="G93" s="71" t="n"/>
      <c r="H93" s="71" t="n"/>
      <c r="I93" s="71" t="n"/>
      <c r="J93" s="71" t="n"/>
      <c r="K93" s="71" t="n"/>
      <c r="L93" s="71" t="n"/>
      <c r="M93" s="71" t="n"/>
      <c r="N93" s="71" t="n"/>
      <c r="O93" s="71" t="n"/>
      <c r="P93" s="71" t="n"/>
      <c r="Q93" s="71" t="n"/>
      <c r="R93" s="71" t="n"/>
      <c r="S93" s="71" t="n"/>
    </row>
    <row r="94">
      <c r="A94" s="74">
        <f>Partite!$A94</f>
        <v/>
      </c>
      <c r="B94" s="30">
        <f>Partite!$B94</f>
        <v/>
      </c>
      <c r="C94" s="75">
        <f>IF(Partite!$E94="","",Partite!$E94)</f>
        <v/>
      </c>
      <c r="D94" s="75">
        <f>IF(Partite!$F94="","",Partite!$F94)</f>
        <v/>
      </c>
      <c r="E94" s="71" t="n"/>
      <c r="F94" s="71" t="n"/>
      <c r="G94" s="71" t="n"/>
      <c r="H94" s="71" t="n"/>
      <c r="I94" s="71" t="n"/>
      <c r="J94" s="71" t="n"/>
      <c r="K94" s="71" t="n"/>
      <c r="L94" s="71" t="n"/>
      <c r="M94" s="71" t="n"/>
      <c r="N94" s="71" t="n"/>
      <c r="O94" s="71" t="n"/>
      <c r="P94" s="71" t="n"/>
      <c r="Q94" s="71" t="n"/>
      <c r="R94" s="71" t="n"/>
      <c r="S94" s="71" t="n"/>
    </row>
    <row r="95">
      <c r="A95" s="74">
        <f>Partite!$A95</f>
        <v/>
      </c>
      <c r="B95" s="30">
        <f>Partite!$B95</f>
        <v/>
      </c>
      <c r="C95" s="75">
        <f>IF(Partite!$E95="","",Partite!$E95)</f>
        <v/>
      </c>
      <c r="D95" s="75">
        <f>IF(Partite!$F95="","",Partite!$F95)</f>
        <v/>
      </c>
      <c r="E95" s="71" t="n"/>
      <c r="F95" s="71" t="n"/>
      <c r="G95" s="71" t="n"/>
      <c r="H95" s="71" t="n"/>
      <c r="I95" s="71" t="n"/>
      <c r="J95" s="71" t="n"/>
      <c r="K95" s="71" t="n"/>
      <c r="L95" s="71" t="n"/>
      <c r="M95" s="71" t="n"/>
      <c r="N95" s="71" t="n"/>
      <c r="O95" s="71" t="n"/>
      <c r="P95" s="71" t="n"/>
      <c r="Q95" s="71" t="n"/>
      <c r="R95" s="71" t="n"/>
      <c r="S95" s="71" t="n"/>
    </row>
    <row r="96">
      <c r="A96" s="74">
        <f>Partite!$A96</f>
        <v/>
      </c>
      <c r="B96" s="30">
        <f>Partite!$B96</f>
        <v/>
      </c>
      <c r="C96" s="75">
        <f>IF(Partite!$E96="","",Partite!$E96)</f>
        <v/>
      </c>
      <c r="D96" s="75">
        <f>IF(Partite!$F96="","",Partite!$F96)</f>
        <v/>
      </c>
      <c r="E96" s="71" t="n"/>
      <c r="F96" s="71" t="n"/>
      <c r="G96" s="71" t="n"/>
      <c r="H96" s="71" t="n"/>
      <c r="I96" s="71" t="n"/>
      <c r="J96" s="71" t="n"/>
      <c r="K96" s="71" t="n"/>
      <c r="L96" s="71" t="n"/>
      <c r="M96" s="71" t="n"/>
      <c r="N96" s="71" t="n"/>
      <c r="O96" s="71" t="n"/>
      <c r="P96" s="71" t="n"/>
      <c r="Q96" s="71" t="n"/>
      <c r="R96" s="71" t="n"/>
      <c r="S96" s="71" t="n"/>
    </row>
    <row r="97">
      <c r="A97" s="74">
        <f>Partite!$A97</f>
        <v/>
      </c>
      <c r="B97" s="30">
        <f>Partite!$B97</f>
        <v/>
      </c>
      <c r="C97" s="75">
        <f>IF(Partite!$E97="","",Partite!$E97)</f>
        <v/>
      </c>
      <c r="D97" s="75">
        <f>IF(Partite!$F97="","",Partite!$F97)</f>
        <v/>
      </c>
      <c r="E97" s="71" t="n"/>
      <c r="F97" s="71" t="n"/>
      <c r="G97" s="71" t="n"/>
      <c r="H97" s="71" t="n"/>
      <c r="I97" s="71" t="n"/>
      <c r="J97" s="71" t="n"/>
      <c r="K97" s="71" t="n"/>
      <c r="L97" s="71" t="n"/>
      <c r="M97" s="71" t="n"/>
      <c r="N97" s="71" t="n"/>
      <c r="O97" s="71" t="n"/>
      <c r="P97" s="71" t="n"/>
      <c r="Q97" s="71" t="n"/>
      <c r="R97" s="71" t="n"/>
      <c r="S97" s="71" t="n"/>
    </row>
    <row r="98">
      <c r="A98" s="74">
        <f>Partite!$A98</f>
        <v/>
      </c>
      <c r="B98" s="30">
        <f>Partite!$B98</f>
        <v/>
      </c>
      <c r="C98" s="75">
        <f>IF(Partite!$E98="","",Partite!$E98)</f>
        <v/>
      </c>
      <c r="D98" s="75">
        <f>IF(Partite!$F98="","",Partite!$F98)</f>
        <v/>
      </c>
      <c r="E98" s="71" t="n"/>
      <c r="F98" s="71" t="n"/>
      <c r="G98" s="71" t="n"/>
      <c r="H98" s="71" t="n"/>
      <c r="I98" s="71" t="n"/>
      <c r="J98" s="71" t="n"/>
      <c r="K98" s="71" t="n"/>
      <c r="L98" s="71" t="n"/>
      <c r="M98" s="71" t="n"/>
      <c r="N98" s="71" t="n"/>
      <c r="O98" s="71" t="n"/>
      <c r="P98" s="71" t="n"/>
      <c r="Q98" s="71" t="n"/>
      <c r="R98" s="71" t="n"/>
      <c r="S98" s="71" t="n"/>
    </row>
    <row r="99">
      <c r="A99" s="74">
        <f>Partite!$A99</f>
        <v/>
      </c>
      <c r="B99" s="30">
        <f>Partite!$B99</f>
        <v/>
      </c>
      <c r="C99" s="75">
        <f>IF(Partite!$E99="","",Partite!$E99)</f>
        <v/>
      </c>
      <c r="D99" s="75">
        <f>IF(Partite!$F99="","",Partite!$F99)</f>
        <v/>
      </c>
      <c r="E99" s="71" t="n"/>
      <c r="F99" s="71" t="n"/>
      <c r="G99" s="71" t="n"/>
      <c r="H99" s="71" t="n"/>
      <c r="I99" s="71" t="n"/>
      <c r="J99" s="71" t="n"/>
      <c r="K99" s="71" t="n"/>
      <c r="L99" s="71" t="n"/>
      <c r="M99" s="71" t="n"/>
      <c r="N99" s="71" t="n"/>
      <c r="O99" s="71" t="n"/>
      <c r="P99" s="71" t="n"/>
      <c r="Q99" s="71" t="n"/>
      <c r="R99" s="71" t="n"/>
      <c r="S99" s="71" t="n"/>
    </row>
    <row r="100">
      <c r="A100" s="74">
        <f>Partite!$A100</f>
        <v/>
      </c>
      <c r="B100" s="30">
        <f>Partite!$B100</f>
        <v/>
      </c>
      <c r="C100" s="75">
        <f>IF(Partite!$E100="","",Partite!$E100)</f>
        <v/>
      </c>
      <c r="D100" s="75">
        <f>IF(Partite!$F100="","",Partite!$F100)</f>
        <v/>
      </c>
      <c r="E100" s="71" t="n"/>
      <c r="F100" s="71" t="n"/>
      <c r="G100" s="71" t="n"/>
      <c r="H100" s="71" t="n"/>
      <c r="I100" s="71" t="n"/>
      <c r="J100" s="71" t="n"/>
      <c r="K100" s="71" t="n"/>
      <c r="L100" s="71" t="n"/>
      <c r="M100" s="71" t="n"/>
      <c r="N100" s="71" t="n"/>
      <c r="O100" s="71" t="n"/>
      <c r="P100" s="71" t="n"/>
      <c r="Q100" s="71" t="n"/>
      <c r="R100" s="71" t="n"/>
      <c r="S100" s="71" t="n"/>
    </row>
    <row r="101">
      <c r="A101" s="74">
        <f>Partite!$A101</f>
        <v/>
      </c>
      <c r="B101" s="30">
        <f>Partite!$B101</f>
        <v/>
      </c>
      <c r="C101" s="75">
        <f>IF(Partite!$E101="","",Partite!$E101)</f>
        <v/>
      </c>
      <c r="D101" s="75">
        <f>IF(Partite!$F101="","",Partite!$F101)</f>
        <v/>
      </c>
      <c r="E101" s="71" t="n"/>
      <c r="F101" s="71" t="n"/>
      <c r="G101" s="71" t="n"/>
      <c r="H101" s="71" t="n"/>
      <c r="I101" s="71" t="n"/>
      <c r="J101" s="71" t="n"/>
      <c r="K101" s="71" t="n"/>
      <c r="L101" s="71" t="n"/>
      <c r="M101" s="71" t="n"/>
      <c r="N101" s="71" t="n"/>
      <c r="O101" s="71" t="n"/>
      <c r="P101" s="71" t="n"/>
      <c r="Q101" s="71" t="n"/>
      <c r="R101" s="71" t="n"/>
      <c r="S101" s="71" t="n"/>
    </row>
    <row r="102">
      <c r="A102" s="74">
        <f>Partite!$A102</f>
        <v/>
      </c>
      <c r="B102" s="30">
        <f>Partite!$B102</f>
        <v/>
      </c>
      <c r="C102" s="75">
        <f>IF(Partite!$E102="","",Partite!$E102)</f>
        <v/>
      </c>
      <c r="D102" s="75">
        <f>IF(Partite!$F102="","",Partite!$F102)</f>
        <v/>
      </c>
      <c r="E102" s="71" t="n"/>
      <c r="F102" s="71" t="n"/>
      <c r="G102" s="71" t="n"/>
      <c r="H102" s="71" t="n"/>
      <c r="I102" s="71" t="n"/>
      <c r="J102" s="71" t="n"/>
      <c r="K102" s="71" t="n"/>
      <c r="L102" s="71" t="n"/>
      <c r="M102" s="71" t="n"/>
      <c r="N102" s="71" t="n"/>
      <c r="O102" s="71" t="n"/>
      <c r="P102" s="71" t="n"/>
      <c r="Q102" s="71" t="n"/>
      <c r="R102" s="71" t="n"/>
      <c r="S102" s="71" t="n"/>
    </row>
  </sheetData>
  <autoFilter ref="A2:D10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10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row r="93">
      <c r="A93" s="74">
        <f>Partite!$A93</f>
        <v/>
      </c>
      <c r="B93" s="30">
        <f>Partite!$B93</f>
        <v/>
      </c>
      <c r="C93" s="47">
        <f>IF(Partite!$E93="","",Partite!$E93&amp;"  -  "&amp;Partite!$F93)</f>
        <v/>
      </c>
      <c r="D93" s="27">
        <f>IF(Partite!$K93&lt;&gt;"Giocata","",IF(AND(Pronostici!$F93&lt;&gt;"",Pronostici!$G93&lt;&gt;"",Pronostici!$F93=Partite!$G93,Pronostici!$G93=Partite!$H93),Config!$D$6,IF(AND($J93&lt;&gt;"",$J93=Partite!$I93),Config!$D$7,Config!$D$8)))</f>
        <v/>
      </c>
      <c r="E93" s="27">
        <f>IF(Partite!$K93&lt;&gt;"Giocata","",IF(AND(Pronostici!$I93&lt;&gt;"",Pronostici!$J93&lt;&gt;"",Pronostici!$I93=Partite!$G93,Pronostici!$J93=Partite!$H93),Config!$D$6,IF(AND($K93&lt;&gt;"",$K93=Partite!$I93),Config!$D$7,Config!$D$8)))</f>
        <v/>
      </c>
      <c r="F93" s="27">
        <f>IF(Partite!$K93&lt;&gt;"Giocata","",IF(AND(Pronostici!$L93&lt;&gt;"",Pronostici!$M93&lt;&gt;"",Pronostici!$L93=Partite!$G93,Pronostici!$M93=Partite!$H93),Config!$D$6,IF(AND($L93&lt;&gt;"",$L93=Partite!$I93),Config!$D$7,Config!$D$8)))</f>
        <v/>
      </c>
      <c r="G93" s="27">
        <f>IF(Partite!$K93&lt;&gt;"Giocata","",IF(AND(Pronostici!$O93&lt;&gt;"",Pronostici!$P93&lt;&gt;"",Pronostici!$O93=Partite!$G93,Pronostici!$P93=Partite!$H93),Config!$D$6,IF(AND($M93&lt;&gt;"",$M93=Partite!$I93),Config!$D$7,Config!$D$8)))</f>
        <v/>
      </c>
      <c r="H93" s="27">
        <f>IF(Partite!$K93&lt;&gt;"Giocata","",IF(AND(Pronostici!$R93&lt;&gt;"",Pronostici!$S93&lt;&gt;"",Pronostici!$R93=Partite!$G93,Pronostici!$S93=Partite!$H93),Config!$D$6,IF(AND($N93&lt;&gt;"",$N93=Partite!$I93),Config!$D$7,Config!$D$8)))</f>
        <v/>
      </c>
      <c r="J93" s="63">
        <f>IF(Pronostici!$E93&lt;&gt;"",UPPER(Pronostici!$E93),IF(OR(Pronostici!$F93="",Pronostici!$G93=""),"",IF(Pronostici!$F93&gt;Pronostici!$G93,"1",IF(Pronostici!$F93=Pronostici!$G93,"X","2"))))</f>
        <v/>
      </c>
      <c r="K93" s="63">
        <f>IF(Pronostici!$H93&lt;&gt;"",UPPER(Pronostici!$H93),IF(OR(Pronostici!$I93="",Pronostici!$J93=""),"",IF(Pronostici!$I93&gt;Pronostici!$J93,"1",IF(Pronostici!$I93=Pronostici!$J93,"X","2"))))</f>
        <v/>
      </c>
      <c r="L93" s="63">
        <f>IF(Pronostici!$K93&lt;&gt;"",UPPER(Pronostici!$K93),IF(OR(Pronostici!$L93="",Pronostici!$M93=""),"",IF(Pronostici!$L93&gt;Pronostici!$M93,"1",IF(Pronostici!$L93=Pronostici!$M93,"X","2"))))</f>
        <v/>
      </c>
      <c r="M93" s="63">
        <f>IF(Pronostici!$N93&lt;&gt;"",UPPER(Pronostici!$N93),IF(OR(Pronostici!$O93="",Pronostici!$P93=""),"",IF(Pronostici!$O93&gt;Pronostici!$P93,"1",IF(Pronostici!$O93=Pronostici!$P93,"X","2"))))</f>
        <v/>
      </c>
      <c r="N93" s="63">
        <f>IF(Pronostici!$Q93&lt;&gt;"",UPPER(Pronostici!$Q93),IF(OR(Pronostici!$R93="",Pronostici!$S93=""),"",IF(Pronostici!$R93&gt;Pronostici!$S93,"1",IF(Pronostici!$R93=Pronostici!$S93,"X","2"))))</f>
        <v/>
      </c>
    </row>
    <row r="94">
      <c r="A94" s="74">
        <f>Partite!$A94</f>
        <v/>
      </c>
      <c r="B94" s="30">
        <f>Partite!$B94</f>
        <v/>
      </c>
      <c r="C94" s="47">
        <f>IF(Partite!$E94="","",Partite!$E94&amp;"  -  "&amp;Partite!$F94)</f>
        <v/>
      </c>
      <c r="D94" s="27">
        <f>IF(Partite!$K94&lt;&gt;"Giocata","",IF(AND(Pronostici!$F94&lt;&gt;"",Pronostici!$G94&lt;&gt;"",Pronostici!$F94=Partite!$G94,Pronostici!$G94=Partite!$H94),Config!$D$6,IF(AND($J94&lt;&gt;"",$J94=Partite!$I94),Config!$D$7,Config!$D$8)))</f>
        <v/>
      </c>
      <c r="E94" s="27">
        <f>IF(Partite!$K94&lt;&gt;"Giocata","",IF(AND(Pronostici!$I94&lt;&gt;"",Pronostici!$J94&lt;&gt;"",Pronostici!$I94=Partite!$G94,Pronostici!$J94=Partite!$H94),Config!$D$6,IF(AND($K94&lt;&gt;"",$K94=Partite!$I94),Config!$D$7,Config!$D$8)))</f>
        <v/>
      </c>
      <c r="F94" s="27">
        <f>IF(Partite!$K94&lt;&gt;"Giocata","",IF(AND(Pronostici!$L94&lt;&gt;"",Pronostici!$M94&lt;&gt;"",Pronostici!$L94=Partite!$G94,Pronostici!$M94=Partite!$H94),Config!$D$6,IF(AND($L94&lt;&gt;"",$L94=Partite!$I94),Config!$D$7,Config!$D$8)))</f>
        <v/>
      </c>
      <c r="G94" s="27">
        <f>IF(Partite!$K94&lt;&gt;"Giocata","",IF(AND(Pronostici!$O94&lt;&gt;"",Pronostici!$P94&lt;&gt;"",Pronostici!$O94=Partite!$G94,Pronostici!$P94=Partite!$H94),Config!$D$6,IF(AND($M94&lt;&gt;"",$M94=Partite!$I94),Config!$D$7,Config!$D$8)))</f>
        <v/>
      </c>
      <c r="H94" s="27">
        <f>IF(Partite!$K94&lt;&gt;"Giocata","",IF(AND(Pronostici!$R94&lt;&gt;"",Pronostici!$S94&lt;&gt;"",Pronostici!$R94=Partite!$G94,Pronostici!$S94=Partite!$H94),Config!$D$6,IF(AND($N94&lt;&gt;"",$N94=Partite!$I94),Config!$D$7,Config!$D$8)))</f>
        <v/>
      </c>
      <c r="J94" s="63">
        <f>IF(Pronostici!$E94&lt;&gt;"",UPPER(Pronostici!$E94),IF(OR(Pronostici!$F94="",Pronostici!$G94=""),"",IF(Pronostici!$F94&gt;Pronostici!$G94,"1",IF(Pronostici!$F94=Pronostici!$G94,"X","2"))))</f>
        <v/>
      </c>
      <c r="K94" s="63">
        <f>IF(Pronostici!$H94&lt;&gt;"",UPPER(Pronostici!$H94),IF(OR(Pronostici!$I94="",Pronostici!$J94=""),"",IF(Pronostici!$I94&gt;Pronostici!$J94,"1",IF(Pronostici!$I94=Pronostici!$J94,"X","2"))))</f>
        <v/>
      </c>
      <c r="L94" s="63">
        <f>IF(Pronostici!$K94&lt;&gt;"",UPPER(Pronostici!$K94),IF(OR(Pronostici!$L94="",Pronostici!$M94=""),"",IF(Pronostici!$L94&gt;Pronostici!$M94,"1",IF(Pronostici!$L94=Pronostici!$M94,"X","2"))))</f>
        <v/>
      </c>
      <c r="M94" s="63">
        <f>IF(Pronostici!$N94&lt;&gt;"",UPPER(Pronostici!$N94),IF(OR(Pronostici!$O94="",Pronostici!$P94=""),"",IF(Pronostici!$O94&gt;Pronostici!$P94,"1",IF(Pronostici!$O94=Pronostici!$P94,"X","2"))))</f>
        <v/>
      </c>
      <c r="N94" s="63">
        <f>IF(Pronostici!$Q94&lt;&gt;"",UPPER(Pronostici!$Q94),IF(OR(Pronostici!$R94="",Pronostici!$S94=""),"",IF(Pronostici!$R94&gt;Pronostici!$S94,"1",IF(Pronostici!$R94=Pronostici!$S94,"X","2"))))</f>
        <v/>
      </c>
    </row>
    <row r="95">
      <c r="A95" s="74">
        <f>Partite!$A95</f>
        <v/>
      </c>
      <c r="B95" s="30">
        <f>Partite!$B95</f>
        <v/>
      </c>
      <c r="C95" s="47">
        <f>IF(Partite!$E95="","",Partite!$E95&amp;"  -  "&amp;Partite!$F95)</f>
        <v/>
      </c>
      <c r="D95" s="27">
        <f>IF(Partite!$K95&lt;&gt;"Giocata","",IF(AND(Pronostici!$F95&lt;&gt;"",Pronostici!$G95&lt;&gt;"",Pronostici!$F95=Partite!$G95,Pronostici!$G95=Partite!$H95),Config!$D$6,IF(AND($J95&lt;&gt;"",$J95=Partite!$I95),Config!$D$7,Config!$D$8)))</f>
        <v/>
      </c>
      <c r="E95" s="27">
        <f>IF(Partite!$K95&lt;&gt;"Giocata","",IF(AND(Pronostici!$I95&lt;&gt;"",Pronostici!$J95&lt;&gt;"",Pronostici!$I95=Partite!$G95,Pronostici!$J95=Partite!$H95),Config!$D$6,IF(AND($K95&lt;&gt;"",$K95=Partite!$I95),Config!$D$7,Config!$D$8)))</f>
        <v/>
      </c>
      <c r="F95" s="27">
        <f>IF(Partite!$K95&lt;&gt;"Giocata","",IF(AND(Pronostici!$L95&lt;&gt;"",Pronostici!$M95&lt;&gt;"",Pronostici!$L95=Partite!$G95,Pronostici!$M95=Partite!$H95),Config!$D$6,IF(AND($L95&lt;&gt;"",$L95=Partite!$I95),Config!$D$7,Config!$D$8)))</f>
        <v/>
      </c>
      <c r="G95" s="27">
        <f>IF(Partite!$K95&lt;&gt;"Giocata","",IF(AND(Pronostici!$O95&lt;&gt;"",Pronostici!$P95&lt;&gt;"",Pronostici!$O95=Partite!$G95,Pronostici!$P95=Partite!$H95),Config!$D$6,IF(AND($M95&lt;&gt;"",$M95=Partite!$I95),Config!$D$7,Config!$D$8)))</f>
        <v/>
      </c>
      <c r="H95" s="27">
        <f>IF(Partite!$K95&lt;&gt;"Giocata","",IF(AND(Pronostici!$R95&lt;&gt;"",Pronostici!$S95&lt;&gt;"",Pronostici!$R95=Partite!$G95,Pronostici!$S95=Partite!$H95),Config!$D$6,IF(AND($N95&lt;&gt;"",$N95=Partite!$I95),Config!$D$7,Config!$D$8)))</f>
        <v/>
      </c>
      <c r="J95" s="63">
        <f>IF(Pronostici!$E95&lt;&gt;"",UPPER(Pronostici!$E95),IF(OR(Pronostici!$F95="",Pronostici!$G95=""),"",IF(Pronostici!$F95&gt;Pronostici!$G95,"1",IF(Pronostici!$F95=Pronostici!$G95,"X","2"))))</f>
        <v/>
      </c>
      <c r="K95" s="63">
        <f>IF(Pronostici!$H95&lt;&gt;"",UPPER(Pronostici!$H95),IF(OR(Pronostici!$I95="",Pronostici!$J95=""),"",IF(Pronostici!$I95&gt;Pronostici!$J95,"1",IF(Pronostici!$I95=Pronostici!$J95,"X","2"))))</f>
        <v/>
      </c>
      <c r="L95" s="63">
        <f>IF(Pronostici!$K95&lt;&gt;"",UPPER(Pronostici!$K95),IF(OR(Pronostici!$L95="",Pronostici!$M95=""),"",IF(Pronostici!$L95&gt;Pronostici!$M95,"1",IF(Pronostici!$L95=Pronostici!$M95,"X","2"))))</f>
        <v/>
      </c>
      <c r="M95" s="63">
        <f>IF(Pronostici!$N95&lt;&gt;"",UPPER(Pronostici!$N95),IF(OR(Pronostici!$O95="",Pronostici!$P95=""),"",IF(Pronostici!$O95&gt;Pronostici!$P95,"1",IF(Pronostici!$O95=Pronostici!$P95,"X","2"))))</f>
        <v/>
      </c>
      <c r="N95" s="63">
        <f>IF(Pronostici!$Q95&lt;&gt;"",UPPER(Pronostici!$Q95),IF(OR(Pronostici!$R95="",Pronostici!$S95=""),"",IF(Pronostici!$R95&gt;Pronostici!$S95,"1",IF(Pronostici!$R95=Pronostici!$S95,"X","2"))))</f>
        <v/>
      </c>
    </row>
    <row r="96">
      <c r="A96" s="74">
        <f>Partite!$A96</f>
        <v/>
      </c>
      <c r="B96" s="30">
        <f>Partite!$B96</f>
        <v/>
      </c>
      <c r="C96" s="47">
        <f>IF(Partite!$E96="","",Partite!$E96&amp;"  -  "&amp;Partite!$F96)</f>
        <v/>
      </c>
      <c r="D96" s="27">
        <f>IF(Partite!$K96&lt;&gt;"Giocata","",IF(AND(Pronostici!$F96&lt;&gt;"",Pronostici!$G96&lt;&gt;"",Pronostici!$F96=Partite!$G96,Pronostici!$G96=Partite!$H96),Config!$D$6,IF(AND($J96&lt;&gt;"",$J96=Partite!$I96),Config!$D$7,Config!$D$8)))</f>
        <v/>
      </c>
      <c r="E96" s="27">
        <f>IF(Partite!$K96&lt;&gt;"Giocata","",IF(AND(Pronostici!$I96&lt;&gt;"",Pronostici!$J96&lt;&gt;"",Pronostici!$I96=Partite!$G96,Pronostici!$J96=Partite!$H96),Config!$D$6,IF(AND($K96&lt;&gt;"",$K96=Partite!$I96),Config!$D$7,Config!$D$8)))</f>
        <v/>
      </c>
      <c r="F96" s="27">
        <f>IF(Partite!$K96&lt;&gt;"Giocata","",IF(AND(Pronostici!$L96&lt;&gt;"",Pronostici!$M96&lt;&gt;"",Pronostici!$L96=Partite!$G96,Pronostici!$M96=Partite!$H96),Config!$D$6,IF(AND($L96&lt;&gt;"",$L96=Partite!$I96),Config!$D$7,Config!$D$8)))</f>
        <v/>
      </c>
      <c r="G96" s="27">
        <f>IF(Partite!$K96&lt;&gt;"Giocata","",IF(AND(Pronostici!$O96&lt;&gt;"",Pronostici!$P96&lt;&gt;"",Pronostici!$O96=Partite!$G96,Pronostici!$P96=Partite!$H96),Config!$D$6,IF(AND($M96&lt;&gt;"",$M96=Partite!$I96),Config!$D$7,Config!$D$8)))</f>
        <v/>
      </c>
      <c r="H96" s="27">
        <f>IF(Partite!$K96&lt;&gt;"Giocata","",IF(AND(Pronostici!$R96&lt;&gt;"",Pronostici!$S96&lt;&gt;"",Pronostici!$R96=Partite!$G96,Pronostici!$S96=Partite!$H96),Config!$D$6,IF(AND($N96&lt;&gt;"",$N96=Partite!$I96),Config!$D$7,Config!$D$8)))</f>
        <v/>
      </c>
      <c r="J96" s="63">
        <f>IF(Pronostici!$E96&lt;&gt;"",UPPER(Pronostici!$E96),IF(OR(Pronostici!$F96="",Pronostici!$G96=""),"",IF(Pronostici!$F96&gt;Pronostici!$G96,"1",IF(Pronostici!$F96=Pronostici!$G96,"X","2"))))</f>
        <v/>
      </c>
      <c r="K96" s="63">
        <f>IF(Pronostici!$H96&lt;&gt;"",UPPER(Pronostici!$H96),IF(OR(Pronostici!$I96="",Pronostici!$J96=""),"",IF(Pronostici!$I96&gt;Pronostici!$J96,"1",IF(Pronostici!$I96=Pronostici!$J96,"X","2"))))</f>
        <v/>
      </c>
      <c r="L96" s="63">
        <f>IF(Pronostici!$K96&lt;&gt;"",UPPER(Pronostici!$K96),IF(OR(Pronostici!$L96="",Pronostici!$M96=""),"",IF(Pronostici!$L96&gt;Pronostici!$M96,"1",IF(Pronostici!$L96=Pronostici!$M96,"X","2"))))</f>
        <v/>
      </c>
      <c r="M96" s="63">
        <f>IF(Pronostici!$N96&lt;&gt;"",UPPER(Pronostici!$N96),IF(OR(Pronostici!$O96="",Pronostici!$P96=""),"",IF(Pronostici!$O96&gt;Pronostici!$P96,"1",IF(Pronostici!$O96=Pronostici!$P96,"X","2"))))</f>
        <v/>
      </c>
      <c r="N96" s="63">
        <f>IF(Pronostici!$Q96&lt;&gt;"",UPPER(Pronostici!$Q96),IF(OR(Pronostici!$R96="",Pronostici!$S96=""),"",IF(Pronostici!$R96&gt;Pronostici!$S96,"1",IF(Pronostici!$R96=Pronostici!$S96,"X","2"))))</f>
        <v/>
      </c>
    </row>
    <row r="97">
      <c r="A97" s="74">
        <f>Partite!$A97</f>
        <v/>
      </c>
      <c r="B97" s="30">
        <f>Partite!$B97</f>
        <v/>
      </c>
      <c r="C97" s="47">
        <f>IF(Partite!$E97="","",Partite!$E97&amp;"  -  "&amp;Partite!$F97)</f>
        <v/>
      </c>
      <c r="D97" s="27">
        <f>IF(Partite!$K97&lt;&gt;"Giocata","",IF(AND(Pronostici!$F97&lt;&gt;"",Pronostici!$G97&lt;&gt;"",Pronostici!$F97=Partite!$G97,Pronostici!$G97=Partite!$H97),Config!$D$6,IF(AND($J97&lt;&gt;"",$J97=Partite!$I97),Config!$D$7,Config!$D$8)))</f>
        <v/>
      </c>
      <c r="E97" s="27">
        <f>IF(Partite!$K97&lt;&gt;"Giocata","",IF(AND(Pronostici!$I97&lt;&gt;"",Pronostici!$J97&lt;&gt;"",Pronostici!$I97=Partite!$G97,Pronostici!$J97=Partite!$H97),Config!$D$6,IF(AND($K97&lt;&gt;"",$K97=Partite!$I97),Config!$D$7,Config!$D$8)))</f>
        <v/>
      </c>
      <c r="F97" s="27">
        <f>IF(Partite!$K97&lt;&gt;"Giocata","",IF(AND(Pronostici!$L97&lt;&gt;"",Pronostici!$M97&lt;&gt;"",Pronostici!$L97=Partite!$G97,Pronostici!$M97=Partite!$H97),Config!$D$6,IF(AND($L97&lt;&gt;"",$L97=Partite!$I97),Config!$D$7,Config!$D$8)))</f>
        <v/>
      </c>
      <c r="G97" s="27">
        <f>IF(Partite!$K97&lt;&gt;"Giocata","",IF(AND(Pronostici!$O97&lt;&gt;"",Pronostici!$P97&lt;&gt;"",Pronostici!$O97=Partite!$G97,Pronostici!$P97=Partite!$H97),Config!$D$6,IF(AND($M97&lt;&gt;"",$M97=Partite!$I97),Config!$D$7,Config!$D$8)))</f>
        <v/>
      </c>
      <c r="H97" s="27">
        <f>IF(Partite!$K97&lt;&gt;"Giocata","",IF(AND(Pronostici!$R97&lt;&gt;"",Pronostici!$S97&lt;&gt;"",Pronostici!$R97=Partite!$G97,Pronostici!$S97=Partite!$H97),Config!$D$6,IF(AND($N97&lt;&gt;"",$N97=Partite!$I97),Config!$D$7,Config!$D$8)))</f>
        <v/>
      </c>
      <c r="J97" s="63">
        <f>IF(Pronostici!$E97&lt;&gt;"",UPPER(Pronostici!$E97),IF(OR(Pronostici!$F97="",Pronostici!$G97=""),"",IF(Pronostici!$F97&gt;Pronostici!$G97,"1",IF(Pronostici!$F97=Pronostici!$G97,"X","2"))))</f>
        <v/>
      </c>
      <c r="K97" s="63">
        <f>IF(Pronostici!$H97&lt;&gt;"",UPPER(Pronostici!$H97),IF(OR(Pronostici!$I97="",Pronostici!$J97=""),"",IF(Pronostici!$I97&gt;Pronostici!$J97,"1",IF(Pronostici!$I97=Pronostici!$J97,"X","2"))))</f>
        <v/>
      </c>
      <c r="L97" s="63">
        <f>IF(Pronostici!$K97&lt;&gt;"",UPPER(Pronostici!$K97),IF(OR(Pronostici!$L97="",Pronostici!$M97=""),"",IF(Pronostici!$L97&gt;Pronostici!$M97,"1",IF(Pronostici!$L97=Pronostici!$M97,"X","2"))))</f>
        <v/>
      </c>
      <c r="M97" s="63">
        <f>IF(Pronostici!$N97&lt;&gt;"",UPPER(Pronostici!$N97),IF(OR(Pronostici!$O97="",Pronostici!$P97=""),"",IF(Pronostici!$O97&gt;Pronostici!$P97,"1",IF(Pronostici!$O97=Pronostici!$P97,"X","2"))))</f>
        <v/>
      </c>
      <c r="N97" s="63">
        <f>IF(Pronostici!$Q97&lt;&gt;"",UPPER(Pronostici!$Q97),IF(OR(Pronostici!$R97="",Pronostici!$S97=""),"",IF(Pronostici!$R97&gt;Pronostici!$S97,"1",IF(Pronostici!$R97=Pronostici!$S97,"X","2"))))</f>
        <v/>
      </c>
    </row>
    <row r="98">
      <c r="A98" s="74">
        <f>Partite!$A98</f>
        <v/>
      </c>
      <c r="B98" s="30">
        <f>Partite!$B98</f>
        <v/>
      </c>
      <c r="C98" s="47">
        <f>IF(Partite!$E98="","",Partite!$E98&amp;"  -  "&amp;Partite!$F98)</f>
        <v/>
      </c>
      <c r="D98" s="27">
        <f>IF(Partite!$K98&lt;&gt;"Giocata","",IF(AND(Pronostici!$F98&lt;&gt;"",Pronostici!$G98&lt;&gt;"",Pronostici!$F98=Partite!$G98,Pronostici!$G98=Partite!$H98),Config!$D$6,IF(AND($J98&lt;&gt;"",$J98=Partite!$I98),Config!$D$7,Config!$D$8)))</f>
        <v/>
      </c>
      <c r="E98" s="27">
        <f>IF(Partite!$K98&lt;&gt;"Giocata","",IF(AND(Pronostici!$I98&lt;&gt;"",Pronostici!$J98&lt;&gt;"",Pronostici!$I98=Partite!$G98,Pronostici!$J98=Partite!$H98),Config!$D$6,IF(AND($K98&lt;&gt;"",$K98=Partite!$I98),Config!$D$7,Config!$D$8)))</f>
        <v/>
      </c>
      <c r="F98" s="27">
        <f>IF(Partite!$K98&lt;&gt;"Giocata","",IF(AND(Pronostici!$L98&lt;&gt;"",Pronostici!$M98&lt;&gt;"",Pronostici!$L98=Partite!$G98,Pronostici!$M98=Partite!$H98),Config!$D$6,IF(AND($L98&lt;&gt;"",$L98=Partite!$I98),Config!$D$7,Config!$D$8)))</f>
        <v/>
      </c>
      <c r="G98" s="27">
        <f>IF(Partite!$K98&lt;&gt;"Giocata","",IF(AND(Pronostici!$O98&lt;&gt;"",Pronostici!$P98&lt;&gt;"",Pronostici!$O98=Partite!$G98,Pronostici!$P98=Partite!$H98),Config!$D$6,IF(AND($M98&lt;&gt;"",$M98=Partite!$I98),Config!$D$7,Config!$D$8)))</f>
        <v/>
      </c>
      <c r="H98" s="27">
        <f>IF(Partite!$K98&lt;&gt;"Giocata","",IF(AND(Pronostici!$R98&lt;&gt;"",Pronostici!$S98&lt;&gt;"",Pronostici!$R98=Partite!$G98,Pronostici!$S98=Partite!$H98),Config!$D$6,IF(AND($N98&lt;&gt;"",$N98=Partite!$I98),Config!$D$7,Config!$D$8)))</f>
        <v/>
      </c>
      <c r="J98" s="63">
        <f>IF(Pronostici!$E98&lt;&gt;"",UPPER(Pronostici!$E98),IF(OR(Pronostici!$F98="",Pronostici!$G98=""),"",IF(Pronostici!$F98&gt;Pronostici!$G98,"1",IF(Pronostici!$F98=Pronostici!$G98,"X","2"))))</f>
        <v/>
      </c>
      <c r="K98" s="63">
        <f>IF(Pronostici!$H98&lt;&gt;"",UPPER(Pronostici!$H98),IF(OR(Pronostici!$I98="",Pronostici!$J98=""),"",IF(Pronostici!$I98&gt;Pronostici!$J98,"1",IF(Pronostici!$I98=Pronostici!$J98,"X","2"))))</f>
        <v/>
      </c>
      <c r="L98" s="63">
        <f>IF(Pronostici!$K98&lt;&gt;"",UPPER(Pronostici!$K98),IF(OR(Pronostici!$L98="",Pronostici!$M98=""),"",IF(Pronostici!$L98&gt;Pronostici!$M98,"1",IF(Pronostici!$L98=Pronostici!$M98,"X","2"))))</f>
        <v/>
      </c>
      <c r="M98" s="63">
        <f>IF(Pronostici!$N98&lt;&gt;"",UPPER(Pronostici!$N98),IF(OR(Pronostici!$O98="",Pronostici!$P98=""),"",IF(Pronostici!$O98&gt;Pronostici!$P98,"1",IF(Pronostici!$O98=Pronostici!$P98,"X","2"))))</f>
        <v/>
      </c>
      <c r="N98" s="63">
        <f>IF(Pronostici!$Q98&lt;&gt;"",UPPER(Pronostici!$Q98),IF(OR(Pronostici!$R98="",Pronostici!$S98=""),"",IF(Pronostici!$R98&gt;Pronostici!$S98,"1",IF(Pronostici!$R98=Pronostici!$S98,"X","2"))))</f>
        <v/>
      </c>
    </row>
    <row r="99">
      <c r="A99" s="74">
        <f>Partite!$A99</f>
        <v/>
      </c>
      <c r="B99" s="30">
        <f>Partite!$B99</f>
        <v/>
      </c>
      <c r="C99" s="47">
        <f>IF(Partite!$E99="","",Partite!$E99&amp;"  -  "&amp;Partite!$F99)</f>
        <v/>
      </c>
      <c r="D99" s="27">
        <f>IF(Partite!$K99&lt;&gt;"Giocata","",IF(AND(Pronostici!$F99&lt;&gt;"",Pronostici!$G99&lt;&gt;"",Pronostici!$F99=Partite!$G99,Pronostici!$G99=Partite!$H99),Config!$D$6,IF(AND($J99&lt;&gt;"",$J99=Partite!$I99),Config!$D$7,Config!$D$8)))</f>
        <v/>
      </c>
      <c r="E99" s="27">
        <f>IF(Partite!$K99&lt;&gt;"Giocata","",IF(AND(Pronostici!$I99&lt;&gt;"",Pronostici!$J99&lt;&gt;"",Pronostici!$I99=Partite!$G99,Pronostici!$J99=Partite!$H99),Config!$D$6,IF(AND($K99&lt;&gt;"",$K99=Partite!$I99),Config!$D$7,Config!$D$8)))</f>
        <v/>
      </c>
      <c r="F99" s="27">
        <f>IF(Partite!$K99&lt;&gt;"Giocata","",IF(AND(Pronostici!$L99&lt;&gt;"",Pronostici!$M99&lt;&gt;"",Pronostici!$L99=Partite!$G99,Pronostici!$M99=Partite!$H99),Config!$D$6,IF(AND($L99&lt;&gt;"",$L99=Partite!$I99),Config!$D$7,Config!$D$8)))</f>
        <v/>
      </c>
      <c r="G99" s="27">
        <f>IF(Partite!$K99&lt;&gt;"Giocata","",IF(AND(Pronostici!$O99&lt;&gt;"",Pronostici!$P99&lt;&gt;"",Pronostici!$O99=Partite!$G99,Pronostici!$P99=Partite!$H99),Config!$D$6,IF(AND($M99&lt;&gt;"",$M99=Partite!$I99),Config!$D$7,Config!$D$8)))</f>
        <v/>
      </c>
      <c r="H99" s="27">
        <f>IF(Partite!$K99&lt;&gt;"Giocata","",IF(AND(Pronostici!$R99&lt;&gt;"",Pronostici!$S99&lt;&gt;"",Pronostici!$R99=Partite!$G99,Pronostici!$S99=Partite!$H99),Config!$D$6,IF(AND($N99&lt;&gt;"",$N99=Partite!$I99),Config!$D$7,Config!$D$8)))</f>
        <v/>
      </c>
      <c r="J99" s="63">
        <f>IF(Pronostici!$E99&lt;&gt;"",UPPER(Pronostici!$E99),IF(OR(Pronostici!$F99="",Pronostici!$G99=""),"",IF(Pronostici!$F99&gt;Pronostici!$G99,"1",IF(Pronostici!$F99=Pronostici!$G99,"X","2"))))</f>
        <v/>
      </c>
      <c r="K99" s="63">
        <f>IF(Pronostici!$H99&lt;&gt;"",UPPER(Pronostici!$H99),IF(OR(Pronostici!$I99="",Pronostici!$J99=""),"",IF(Pronostici!$I99&gt;Pronostici!$J99,"1",IF(Pronostici!$I99=Pronostici!$J99,"X","2"))))</f>
        <v/>
      </c>
      <c r="L99" s="63">
        <f>IF(Pronostici!$K99&lt;&gt;"",UPPER(Pronostici!$K99),IF(OR(Pronostici!$L99="",Pronostici!$M99=""),"",IF(Pronostici!$L99&gt;Pronostici!$M99,"1",IF(Pronostici!$L99=Pronostici!$M99,"X","2"))))</f>
        <v/>
      </c>
      <c r="M99" s="63">
        <f>IF(Pronostici!$N99&lt;&gt;"",UPPER(Pronostici!$N99),IF(OR(Pronostici!$O99="",Pronostici!$P99=""),"",IF(Pronostici!$O99&gt;Pronostici!$P99,"1",IF(Pronostici!$O99=Pronostici!$P99,"X","2"))))</f>
        <v/>
      </c>
      <c r="N99" s="63">
        <f>IF(Pronostici!$Q99&lt;&gt;"",UPPER(Pronostici!$Q99),IF(OR(Pronostici!$R99="",Pronostici!$S99=""),"",IF(Pronostici!$R99&gt;Pronostici!$S99,"1",IF(Pronostici!$R99=Pronostici!$S99,"X","2"))))</f>
        <v/>
      </c>
    </row>
    <row r="100">
      <c r="A100" s="74">
        <f>Partite!$A100</f>
        <v/>
      </c>
      <c r="B100" s="30">
        <f>Partite!$B100</f>
        <v/>
      </c>
      <c r="C100" s="47">
        <f>IF(Partite!$E100="","",Partite!$E100&amp;"  -  "&amp;Partite!$F100)</f>
        <v/>
      </c>
      <c r="D100" s="27">
        <f>IF(Partite!$K100&lt;&gt;"Giocata","",IF(AND(Pronostici!$F100&lt;&gt;"",Pronostici!$G100&lt;&gt;"",Pronostici!$F100=Partite!$G100,Pronostici!$G100=Partite!$H100),Config!$D$6,IF(AND($J100&lt;&gt;"",$J100=Partite!$I100),Config!$D$7,Config!$D$8)))</f>
        <v/>
      </c>
      <c r="E100" s="27">
        <f>IF(Partite!$K100&lt;&gt;"Giocata","",IF(AND(Pronostici!$I100&lt;&gt;"",Pronostici!$J100&lt;&gt;"",Pronostici!$I100=Partite!$G100,Pronostici!$J100=Partite!$H100),Config!$D$6,IF(AND($K100&lt;&gt;"",$K100=Partite!$I100),Config!$D$7,Config!$D$8)))</f>
        <v/>
      </c>
      <c r="F100" s="27">
        <f>IF(Partite!$K100&lt;&gt;"Giocata","",IF(AND(Pronostici!$L100&lt;&gt;"",Pronostici!$M100&lt;&gt;"",Pronostici!$L100=Partite!$G100,Pronostici!$M100=Partite!$H100),Config!$D$6,IF(AND($L100&lt;&gt;"",$L100=Partite!$I100),Config!$D$7,Config!$D$8)))</f>
        <v/>
      </c>
      <c r="G100" s="27">
        <f>IF(Partite!$K100&lt;&gt;"Giocata","",IF(AND(Pronostici!$O100&lt;&gt;"",Pronostici!$P100&lt;&gt;"",Pronostici!$O100=Partite!$G100,Pronostici!$P100=Partite!$H100),Config!$D$6,IF(AND($M100&lt;&gt;"",$M100=Partite!$I100),Config!$D$7,Config!$D$8)))</f>
        <v/>
      </c>
      <c r="H100" s="27">
        <f>IF(Partite!$K100&lt;&gt;"Giocata","",IF(AND(Pronostici!$R100&lt;&gt;"",Pronostici!$S100&lt;&gt;"",Pronostici!$R100=Partite!$G100,Pronostici!$S100=Partite!$H100),Config!$D$6,IF(AND($N100&lt;&gt;"",$N100=Partite!$I100),Config!$D$7,Config!$D$8)))</f>
        <v/>
      </c>
      <c r="J100" s="63">
        <f>IF(Pronostici!$E100&lt;&gt;"",UPPER(Pronostici!$E100),IF(OR(Pronostici!$F100="",Pronostici!$G100=""),"",IF(Pronostici!$F100&gt;Pronostici!$G100,"1",IF(Pronostici!$F100=Pronostici!$G100,"X","2"))))</f>
        <v/>
      </c>
      <c r="K100" s="63">
        <f>IF(Pronostici!$H100&lt;&gt;"",UPPER(Pronostici!$H100),IF(OR(Pronostici!$I100="",Pronostici!$J100=""),"",IF(Pronostici!$I100&gt;Pronostici!$J100,"1",IF(Pronostici!$I100=Pronostici!$J100,"X","2"))))</f>
        <v/>
      </c>
      <c r="L100" s="63">
        <f>IF(Pronostici!$K100&lt;&gt;"",UPPER(Pronostici!$K100),IF(OR(Pronostici!$L100="",Pronostici!$M100=""),"",IF(Pronostici!$L100&gt;Pronostici!$M100,"1",IF(Pronostici!$L100=Pronostici!$M100,"X","2"))))</f>
        <v/>
      </c>
      <c r="M100" s="63">
        <f>IF(Pronostici!$N100&lt;&gt;"",UPPER(Pronostici!$N100),IF(OR(Pronostici!$O100="",Pronostici!$P100=""),"",IF(Pronostici!$O100&gt;Pronostici!$P100,"1",IF(Pronostici!$O100=Pronostici!$P100,"X","2"))))</f>
        <v/>
      </c>
      <c r="N100" s="63">
        <f>IF(Pronostici!$Q100&lt;&gt;"",UPPER(Pronostici!$Q100),IF(OR(Pronostici!$R100="",Pronostici!$S100=""),"",IF(Pronostici!$R100&gt;Pronostici!$S100,"1",IF(Pronostici!$R100=Pronostici!$S100,"X","2"))))</f>
        <v/>
      </c>
    </row>
    <row r="101">
      <c r="A101" s="74">
        <f>Partite!$A101</f>
        <v/>
      </c>
      <c r="B101" s="30">
        <f>Partite!$B101</f>
        <v/>
      </c>
      <c r="C101" s="47">
        <f>IF(Partite!$E101="","",Partite!$E101&amp;"  -  "&amp;Partite!$F101)</f>
        <v/>
      </c>
      <c r="D101" s="27">
        <f>IF(Partite!$K101&lt;&gt;"Giocata","",IF(AND(Pronostici!$F101&lt;&gt;"",Pronostici!$G101&lt;&gt;"",Pronostici!$F101=Partite!$G101,Pronostici!$G101=Partite!$H101),Config!$D$6,IF(AND($J101&lt;&gt;"",$J101=Partite!$I101),Config!$D$7,Config!$D$8)))</f>
        <v/>
      </c>
      <c r="E101" s="27">
        <f>IF(Partite!$K101&lt;&gt;"Giocata","",IF(AND(Pronostici!$I101&lt;&gt;"",Pronostici!$J101&lt;&gt;"",Pronostici!$I101=Partite!$G101,Pronostici!$J101=Partite!$H101),Config!$D$6,IF(AND($K101&lt;&gt;"",$K101=Partite!$I101),Config!$D$7,Config!$D$8)))</f>
        <v/>
      </c>
      <c r="F101" s="27">
        <f>IF(Partite!$K101&lt;&gt;"Giocata","",IF(AND(Pronostici!$L101&lt;&gt;"",Pronostici!$M101&lt;&gt;"",Pronostici!$L101=Partite!$G101,Pronostici!$M101=Partite!$H101),Config!$D$6,IF(AND($L101&lt;&gt;"",$L101=Partite!$I101),Config!$D$7,Config!$D$8)))</f>
        <v/>
      </c>
      <c r="G101" s="27">
        <f>IF(Partite!$K101&lt;&gt;"Giocata","",IF(AND(Pronostici!$O101&lt;&gt;"",Pronostici!$P101&lt;&gt;"",Pronostici!$O101=Partite!$G101,Pronostici!$P101=Partite!$H101),Config!$D$6,IF(AND($M101&lt;&gt;"",$M101=Partite!$I101),Config!$D$7,Config!$D$8)))</f>
        <v/>
      </c>
      <c r="H101" s="27">
        <f>IF(Partite!$K101&lt;&gt;"Giocata","",IF(AND(Pronostici!$R101&lt;&gt;"",Pronostici!$S101&lt;&gt;"",Pronostici!$R101=Partite!$G101,Pronostici!$S101=Partite!$H101),Config!$D$6,IF(AND($N101&lt;&gt;"",$N101=Partite!$I101),Config!$D$7,Config!$D$8)))</f>
        <v/>
      </c>
      <c r="J101" s="63">
        <f>IF(Pronostici!$E101&lt;&gt;"",UPPER(Pronostici!$E101),IF(OR(Pronostici!$F101="",Pronostici!$G101=""),"",IF(Pronostici!$F101&gt;Pronostici!$G101,"1",IF(Pronostici!$F101=Pronostici!$G101,"X","2"))))</f>
        <v/>
      </c>
      <c r="K101" s="63">
        <f>IF(Pronostici!$H101&lt;&gt;"",UPPER(Pronostici!$H101),IF(OR(Pronostici!$I101="",Pronostici!$J101=""),"",IF(Pronostici!$I101&gt;Pronostici!$J101,"1",IF(Pronostici!$I101=Pronostici!$J101,"X","2"))))</f>
        <v/>
      </c>
      <c r="L101" s="63">
        <f>IF(Pronostici!$K101&lt;&gt;"",UPPER(Pronostici!$K101),IF(OR(Pronostici!$L101="",Pronostici!$M101=""),"",IF(Pronostici!$L101&gt;Pronostici!$M101,"1",IF(Pronostici!$L101=Pronostici!$M101,"X","2"))))</f>
        <v/>
      </c>
      <c r="M101" s="63">
        <f>IF(Pronostici!$N101&lt;&gt;"",UPPER(Pronostici!$N101),IF(OR(Pronostici!$O101="",Pronostici!$P101=""),"",IF(Pronostici!$O101&gt;Pronostici!$P101,"1",IF(Pronostici!$O101=Pronostici!$P101,"X","2"))))</f>
        <v/>
      </c>
      <c r="N101" s="63">
        <f>IF(Pronostici!$Q101&lt;&gt;"",UPPER(Pronostici!$Q101),IF(OR(Pronostici!$R101="",Pronostici!$S101=""),"",IF(Pronostici!$R101&gt;Pronostici!$S101,"1",IF(Pronostici!$R101=Pronostici!$S101,"X","2"))))</f>
        <v/>
      </c>
    </row>
    <row r="102">
      <c r="A102" s="74">
        <f>Partite!$A102</f>
        <v/>
      </c>
      <c r="B102" s="30">
        <f>Partite!$B102</f>
        <v/>
      </c>
      <c r="C102" s="47">
        <f>IF(Partite!$E102="","",Partite!$E102&amp;"  -  "&amp;Partite!$F102)</f>
        <v/>
      </c>
      <c r="D102" s="27">
        <f>IF(Partite!$K102&lt;&gt;"Giocata","",IF(AND(Pronostici!$F102&lt;&gt;"",Pronostici!$G102&lt;&gt;"",Pronostici!$F102=Partite!$G102,Pronostici!$G102=Partite!$H102),Config!$D$6,IF(AND($J102&lt;&gt;"",$J102=Partite!$I102),Config!$D$7,Config!$D$8)))</f>
        <v/>
      </c>
      <c r="E102" s="27">
        <f>IF(Partite!$K102&lt;&gt;"Giocata","",IF(AND(Pronostici!$I102&lt;&gt;"",Pronostici!$J102&lt;&gt;"",Pronostici!$I102=Partite!$G102,Pronostici!$J102=Partite!$H102),Config!$D$6,IF(AND($K102&lt;&gt;"",$K102=Partite!$I102),Config!$D$7,Config!$D$8)))</f>
        <v/>
      </c>
      <c r="F102" s="27">
        <f>IF(Partite!$K102&lt;&gt;"Giocata","",IF(AND(Pronostici!$L102&lt;&gt;"",Pronostici!$M102&lt;&gt;"",Pronostici!$L102=Partite!$G102,Pronostici!$M102=Partite!$H102),Config!$D$6,IF(AND($L102&lt;&gt;"",$L102=Partite!$I102),Config!$D$7,Config!$D$8)))</f>
        <v/>
      </c>
      <c r="G102" s="27">
        <f>IF(Partite!$K102&lt;&gt;"Giocata","",IF(AND(Pronostici!$O102&lt;&gt;"",Pronostici!$P102&lt;&gt;"",Pronostici!$O102=Partite!$G102,Pronostici!$P102=Partite!$H102),Config!$D$6,IF(AND($M102&lt;&gt;"",$M102=Partite!$I102),Config!$D$7,Config!$D$8)))</f>
        <v/>
      </c>
      <c r="H102" s="27">
        <f>IF(Partite!$K102&lt;&gt;"Giocata","",IF(AND(Pronostici!$R102&lt;&gt;"",Pronostici!$S102&lt;&gt;"",Pronostici!$R102=Partite!$G102,Pronostici!$S102=Partite!$H102),Config!$D$6,IF(AND($N102&lt;&gt;"",$N102=Partite!$I102),Config!$D$7,Config!$D$8)))</f>
        <v/>
      </c>
      <c r="J102" s="63">
        <f>IF(Pronostici!$E102&lt;&gt;"",UPPER(Pronostici!$E102),IF(OR(Pronostici!$F102="",Pronostici!$G102=""),"",IF(Pronostici!$F102&gt;Pronostici!$G102,"1",IF(Pronostici!$F102=Pronostici!$G102,"X","2"))))</f>
        <v/>
      </c>
      <c r="K102" s="63">
        <f>IF(Pronostici!$H102&lt;&gt;"",UPPER(Pronostici!$H102),IF(OR(Pronostici!$I102="",Pronostici!$J102=""),"",IF(Pronostici!$I102&gt;Pronostici!$J102,"1",IF(Pronostici!$I102=Pronostici!$J102,"X","2"))))</f>
        <v/>
      </c>
      <c r="L102" s="63">
        <f>IF(Pronostici!$K102&lt;&gt;"",UPPER(Pronostici!$K102),IF(OR(Pronostici!$L102="",Pronostici!$M102=""),"",IF(Pronostici!$L102&gt;Pronostici!$M102,"1",IF(Pronostici!$L102=Pronostici!$M102,"X","2"))))</f>
        <v/>
      </c>
      <c r="M102" s="63">
        <f>IF(Pronostici!$N102&lt;&gt;"",UPPER(Pronostici!$N102),IF(OR(Pronostici!$O102="",Pronostici!$P102=""),"",IF(Pronostici!$O102&gt;Pronostici!$P102,"1",IF(Pronostici!$O102=Pronostici!$P102,"X","2"))))</f>
        <v/>
      </c>
      <c r="N102" s="63">
        <f>IF(Pronostici!$Q102&lt;&gt;"",UPPER(Pronostici!$Q102),IF(OR(Pronostici!$R102="",Pronostici!$S102=""),"",IF(Pronostici!$R102&gt;Pronostici!$S102,"1",IF(Pronostici!$R102=Pronostici!$S102,"X","2"))))</f>
        <v/>
      </c>
    </row>
  </sheetData>
  <mergeCells count="1">
    <mergeCell ref="A1:H1"/>
  </mergeCells>
  <conditionalFormatting sqref="D3:D102">
    <cfRule type="cellIs" priority="1" operator="greaterThanOrEqual" dxfId="0">
      <formula>3</formula>
    </cfRule>
    <cfRule type="cellIs" priority="2" operator="equal" dxfId="1">
      <formula>1</formula>
    </cfRule>
  </conditionalFormatting>
  <conditionalFormatting sqref="E3:E102">
    <cfRule type="cellIs" priority="3" operator="greaterThanOrEqual" dxfId="0">
      <formula>3</formula>
    </cfRule>
    <cfRule type="cellIs" priority="4" operator="equal" dxfId="1">
      <formula>1</formula>
    </cfRule>
  </conditionalFormatting>
  <conditionalFormatting sqref="F3:F102">
    <cfRule type="cellIs" priority="5" operator="greaterThanOrEqual" dxfId="0">
      <formula>3</formula>
    </cfRule>
    <cfRule type="cellIs" priority="6" operator="equal" dxfId="1">
      <formula>1</formula>
    </cfRule>
  </conditionalFormatting>
  <conditionalFormatting sqref="G3:G102">
    <cfRule type="cellIs" priority="7" operator="greaterThanOrEqual" dxfId="0">
      <formula>3</formula>
    </cfRule>
    <cfRule type="cellIs" priority="8" operator="equal" dxfId="1">
      <formula>1</formula>
    </cfRule>
  </conditionalFormatting>
  <conditionalFormatting sqref="H3:H10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2026-10-31T09:39:36Z</dcterms:created>
  <dcterms:modified xsi:type="dcterms:W3CDTF">2026-10-31T09:39:37Z</dcterms:modified>
</cp:coreProperties>
</file>