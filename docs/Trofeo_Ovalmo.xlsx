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'Partite'!$A$2:$K$82</definedName>
    <definedName name="_xlnm._FilterDatabase" localSheetId="2" hidden="1">'Pronostici'!$A$2:$D$82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'Classifica'!$A$33:$A$40</f>
            </numRef>
          </cat>
          <val>
            <numRef>
              <f>'Classifica'!$R$33:$R$40</f>
            </numRef>
          </val>
          <smooth val="0"/>
        </ser>
        <ser>
          <idx val="1"/>
          <order val="1"/>
          <tx>
            <strRef>
              <f>'Classifica'!S32</f>
            </strRef>
          </tx>
          <spPr>
            <a:ln w="22000">
              <a:solidFill>
                <a:srgbClr val="3E8E5A"/>
              </a:solidFill>
              <a:prstDash val="solid"/>
            </a:ln>
          </spPr>
          <marker>
            <symbol val="circle"/>
            <size val="6"/>
            <spPr>
              <a:ln>
                <a:prstDash val="solid"/>
              </a:ln>
            </spPr>
          </marker>
          <cat>
            <numRef>
              <f>'Classifica'!$A$33:$A$40</f>
            </numRef>
          </cat>
          <val>
            <numRef>
              <f>'Classifica'!$S$33:$S$40</f>
            </numRef>
          </val>
          <smooth val="0"/>
        </ser>
        <ser>
          <idx val="2"/>
          <order val="2"/>
          <tx>
            <strRef>
              <f>'Classifica'!T32</f>
            </strRef>
          </tx>
          <spPr>
            <a:ln w="22000">
              <a:solidFill>
                <a:srgbClr val="C2622F"/>
              </a:solidFill>
              <a:prstDash val="solid"/>
            </a:ln>
          </spPr>
          <marker>
            <symbol val="circle"/>
            <size val="6"/>
            <spPr>
              <a:ln>
                <a:prstDash val="solid"/>
              </a:ln>
            </spPr>
          </marker>
          <cat>
            <numRef>
              <f>'Classifica'!$A$33:$A$40</f>
            </numRef>
          </cat>
          <val>
            <numRef>
              <f>'Classifica'!$T$33:$T$40</f>
            </numRef>
          </val>
          <smooth val="0"/>
        </ser>
        <ser>
          <idx val="3"/>
          <order val="3"/>
          <tx>
            <strRef>
              <f>'Classifica'!U32</f>
            </strRef>
          </tx>
          <spPr>
            <a:ln w="22000">
              <a:solidFill>
                <a:srgbClr val="6A56A8"/>
              </a:solidFill>
              <a:prstDash val="solid"/>
            </a:ln>
          </spPr>
          <marker>
            <symbol val="circle"/>
            <size val="6"/>
            <spPr>
              <a:ln>
                <a:prstDash val="solid"/>
              </a:ln>
            </spPr>
          </marker>
          <cat>
            <numRef>
              <f>'Classifica'!$A$33:$A$40</f>
            </numRef>
          </cat>
          <val>
            <numRef>
              <f>'Classifica'!$U$33:$U$40</f>
            </numRef>
          </val>
          <smooth val="0"/>
        </ser>
        <ser>
          <idx val="4"/>
          <order val="4"/>
          <tx>
            <strRef>
              <f>'Classifica'!V32</f>
            </strRef>
          </tx>
          <spPr>
            <a:ln w="22000">
              <a:solidFill>
                <a:srgbClr val="B08A1E"/>
              </a:solidFill>
              <a:prstDash val="solid"/>
            </a:ln>
          </spPr>
          <marker>
            <symbol val="circle"/>
            <size val="6"/>
            <spPr>
              <a:ln>
                <a:prstDash val="solid"/>
              </a:ln>
            </spPr>
          </marker>
          <cat>
            <numRef>
              <f>'Classifica'!$A$33:$A$40</f>
            </numRef>
          </cat>
          <val>
            <numRef>
              <f>'Classifica'!$V$33:$V$40</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0"/>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COUNTIF($B$33:$B$40,"Completata")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COUNTIF($B$33:$B$40,"Completata")+COUNTIF($B$33:$B$40,"In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IF($L$5=0,"-",SUMPRODUCT(MAX(($B$33:$B$40="Completata")*$A$33:$A$40)))</f>
        <v/>
      </c>
    </row>
    <row r="8">
      <c r="K8" s="12" t="inlineStr">
        <is>
          <t>Prossima da giocare</t>
        </is>
      </c>
      <c r="L8" s="13">
        <f>IF(SUMPRODUCT(MIN(($B$33:$B$40&lt;&gt;"Completata")*$A$33:$A$40+($B$33:$B$40="Completata")*999))&gt;=999,"-",SUMPRODUCT(MIN(($B$33:$B$40&lt;&gt;"Completata")*$A$33:$A$40+($B$33:$B$40="Completata")*999)))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SUM(Punti!$D$3:$D$82)</f>
        <v/>
      </c>
      <c r="D12" s="25">
        <f>COUNTIF(Punti!$D$3:$D$82,Config!$D$7)+COUNTIF(Punti!$D$3:$D$82,Config!$D$6)</f>
        <v/>
      </c>
      <c r="E12" s="25">
        <f>COUNTIF(Punti!$D$3:$D$82,Config!$D$6)</f>
        <v/>
      </c>
      <c r="F12" s="25">
        <f>SUMPRODUCT(((Pronostici!$E$3:$E$82&lt;&gt;"")+(Pronostici!$F$3:$F$82&lt;&gt;""))*1&gt;0)</f>
        <v/>
      </c>
      <c r="G12" s="26">
        <f>IF($L$6=0,0,$C12/$L$6)</f>
        <v/>
      </c>
      <c r="H12" s="25">
        <f>SUMPRODUCT(($C$33:$C$40=$H$33:$H$40)*($H$33:$H$40&gt;0)*($B$33:$B$40="Completata"))</f>
        <v/>
      </c>
    </row>
    <row r="13" ht="20" customHeight="1">
      <c r="A13" s="27">
        <f>SUMPRODUCT((($C$12:$C$16*1000+$E$12:$E$16)&gt;($C13*1000+$E13))*1)+1</f>
        <v/>
      </c>
      <c r="B13" s="28">
        <f>Config!$A$7</f>
        <v/>
      </c>
      <c r="C13" s="29">
        <f>SUM(Punti!$E$3:$E$82)</f>
        <v/>
      </c>
      <c r="D13" s="30">
        <f>COUNTIF(Punti!$E$3:$E$82,Config!$D$7)+COUNTIF(Punti!$E$3:$E$82,Config!$D$6)</f>
        <v/>
      </c>
      <c r="E13" s="30">
        <f>COUNTIF(Punti!$E$3:$E$82,Config!$D$6)</f>
        <v/>
      </c>
      <c r="F13" s="30">
        <f>SUMPRODUCT(((Pronostici!$H$3:$H$82&lt;&gt;"")+(Pronostici!$I$3:$I$82&lt;&gt;""))*1&gt;0)</f>
        <v/>
      </c>
      <c r="G13" s="31">
        <f>IF($L$6=0,0,$C13/$L$6)</f>
        <v/>
      </c>
      <c r="H13" s="30">
        <f>SUMPRODUCT(($D$33:$D$40=$H$33:$H$40)*($H$33:$H$40&gt;0)*($B$33:$B$40="Completata"))</f>
        <v/>
      </c>
    </row>
    <row r="14" ht="20" customHeight="1">
      <c r="A14" s="22">
        <f>SUMPRODUCT((($C$12:$C$16*1000+$E$12:$E$16)&gt;($C14*1000+$E14))*1)+1</f>
        <v/>
      </c>
      <c r="B14" s="32">
        <f>Config!$A$8</f>
        <v/>
      </c>
      <c r="C14" s="24">
        <f>SUM(Punti!$F$3:$F$82)</f>
        <v/>
      </c>
      <c r="D14" s="25">
        <f>COUNTIF(Punti!$F$3:$F$82,Config!$D$7)+COUNTIF(Punti!$F$3:$F$82,Config!$D$6)</f>
        <v/>
      </c>
      <c r="E14" s="25">
        <f>COUNTIF(Punti!$F$3:$F$82,Config!$D$6)</f>
        <v/>
      </c>
      <c r="F14" s="25">
        <f>SUMPRODUCT(((Pronostici!$K$3:$K$82&lt;&gt;"")+(Pronostici!$L$3:$L$82&lt;&gt;""))*1&gt;0)</f>
        <v/>
      </c>
      <c r="G14" s="26">
        <f>IF($L$6=0,0,$C14/$L$6)</f>
        <v/>
      </c>
      <c r="H14" s="25">
        <f>SUMPRODUCT(($E$33:$E$40=$H$33:$H$40)*($H$33:$H$40&gt;0)*($B$33:$B$40="Completata"))</f>
        <v/>
      </c>
    </row>
    <row r="15" ht="20" customHeight="1">
      <c r="A15" s="27">
        <f>SUMPRODUCT((($C$12:$C$16*1000+$E$12:$E$16)&gt;($C15*1000+$E15))*1)+1</f>
        <v/>
      </c>
      <c r="B15" s="33">
        <f>Config!$A$9</f>
        <v/>
      </c>
      <c r="C15" s="29">
        <f>SUM(Punti!$G$3:$G$82)</f>
        <v/>
      </c>
      <c r="D15" s="30">
        <f>COUNTIF(Punti!$G$3:$G$82,Config!$D$7)+COUNTIF(Punti!$G$3:$G$82,Config!$D$6)</f>
        <v/>
      </c>
      <c r="E15" s="30">
        <f>COUNTIF(Punti!$G$3:$G$82,Config!$D$6)</f>
        <v/>
      </c>
      <c r="F15" s="30">
        <f>SUMPRODUCT(((Pronostici!$N$3:$N$82&lt;&gt;"")+(Pronostici!$O$3:$O$82&lt;&gt;""))*1&gt;0)</f>
        <v/>
      </c>
      <c r="G15" s="31">
        <f>IF($L$6=0,0,$C15/$L$6)</f>
        <v/>
      </c>
      <c r="H15" s="30">
        <f>SUMPRODUCT(($F$33:$F$40=$H$33:$H$40)*($H$33:$H$40&gt;0)*($B$33:$B$40="Completata"))</f>
        <v/>
      </c>
    </row>
    <row r="16" ht="20" customHeight="1">
      <c r="A16" s="22">
        <f>SUMPRODUCT((($C$12:$C$16*1000+$E$12:$E$16)&gt;($C16*1000+$E16))*1)+1</f>
        <v/>
      </c>
      <c r="B16" s="34">
        <f>Config!$A$10</f>
        <v/>
      </c>
      <c r="C16" s="24">
        <f>SUM(Punti!$H$3:$H$82)</f>
        <v/>
      </c>
      <c r="D16" s="25">
        <f>COUNTIF(Punti!$H$3:$H$82,Config!$D$7)+COUNTIF(Punti!$H$3:$H$82,Config!$D$6)</f>
        <v/>
      </c>
      <c r="E16" s="25">
        <f>COUNTIF(Punti!$H$3:$H$82,Config!$D$6)</f>
        <v/>
      </c>
      <c r="F16" s="25">
        <f>SUMPRODUCT(((Pronostici!$Q$3:$Q$82&lt;&gt;"")+(Pronostici!$R$3:$R$82&lt;&gt;""))*1&gt;0)</f>
        <v/>
      </c>
      <c r="G16" s="26">
        <f>IF($L$6=0,0,$C16/$L$6)</f>
        <v/>
      </c>
      <c r="H16" s="25">
        <f>SUMPRODUCT(($G$33:$G$40=$H$33:$H$40)*($H$33:$H$40&gt;0)*($B$33:$B$40="Completata"))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IF($L$7="-","-",IFERROR(INDEX($C$33:$C$40,MATCH($L$7,$A$33:$A$40,0)),"-"))</f>
        <v/>
      </c>
      <c r="D20" s="40">
        <f>IF($L$7="-","",IF(IFERROR(INDEX($C$33:$C$40,MATCH($L$7,$A$33:$A$40,0)),0)=IFERROR(INDEX($H$33:$H$40,MATCH($L$7,$A$33:$A$40,0)),-1),"RE DELLA GIORNATA",""))</f>
        <v/>
      </c>
      <c r="E20" s="41" t="n"/>
      <c r="K20" s="42">
        <f>IFERROR(INDEX(Partite!$E$3:$E$82,MATCH("G"&amp;TEXT($L$8,"00")&amp;"-"&amp;TEXT(1,"00"),Partite!$A$3:$A$82,0))&amp;"   -   "&amp;INDEX(Partite!$F$3:$F$82,MATCH("G"&amp;TEXT($L$8,"00")&amp;"-"&amp;TEXT(1,"00"),Partite!$A$3:$A$82,0)),"-")</f>
        <v/>
      </c>
      <c r="L20" s="43" t="n"/>
      <c r="M20" s="43" t="n"/>
      <c r="N20" s="44">
        <f>Config!$A$6</f>
        <v/>
      </c>
      <c r="O20" s="45">
        <f>IF($L$8="-","-",SUMPRODUCT((Pronostici!$B$3:$B$82=$L$8)*(((Pronostici!$E$3:$E$82&lt;&gt;"")+(Pronostici!$F$3:$F$82&lt;&gt;""))&gt;0))&amp;"/10")</f>
        <v/>
      </c>
    </row>
    <row r="21">
      <c r="B21" s="28">
        <f>Config!$A$7</f>
        <v/>
      </c>
      <c r="C21" s="24">
        <f>IF($L$7="-","-",IFERROR(INDEX($D$33:$D$40,MATCH($L$7,$A$33:$A$40,0)),"-"))</f>
        <v/>
      </c>
      <c r="D21" s="40">
        <f>IF($L$7="-","",IF(IFERROR(INDEX($D$33:$D$40,MATCH($L$7,$A$33:$A$40,0)),0)=IFERROR(INDEX($H$33:$H$40,MATCH($L$7,$A$33:$A$40,0)),-1),"RE DELLA GIORNATA",""))</f>
        <v/>
      </c>
      <c r="E21" s="41" t="n"/>
      <c r="K21" s="46">
        <f>IFERROR(INDEX(Partite!$E$3:$E$82,MATCH("G"&amp;TEXT($L$8,"00")&amp;"-"&amp;TEXT(2,"00"),Partite!$A$3:$A$82,0))&amp;"   -   "&amp;INDEX(Partite!$F$3:$F$82,MATCH("G"&amp;TEXT($L$8,"00")&amp;"-"&amp;TEXT(2,"00"),Partite!$A$3:$A$82,0)),"-")</f>
        <v/>
      </c>
      <c r="L21" s="47" t="n"/>
      <c r="M21" s="47" t="n"/>
      <c r="N21" s="48">
        <f>Config!$A$7</f>
        <v/>
      </c>
      <c r="O21" s="45">
        <f>IF($L$8="-","-",SUMPRODUCT((Pronostici!$B$3:$B$82=$L$8)*(((Pronostici!$H$3:$H$82&lt;&gt;"")+(Pronostici!$I$3:$I$82&lt;&gt;""))&gt;0))&amp;"/10")</f>
        <v/>
      </c>
    </row>
    <row r="22">
      <c r="B22" s="32">
        <f>Config!$A$8</f>
        <v/>
      </c>
      <c r="C22" s="24">
        <f>IF($L$7="-","-",IFERROR(INDEX($E$33:$E$40,MATCH($L$7,$A$33:$A$40,0)),"-"))</f>
        <v/>
      </c>
      <c r="D22" s="40">
        <f>IF($L$7="-","",IF(IFERROR(INDEX($E$33:$E$40,MATCH($L$7,$A$33:$A$40,0)),0)=IFERROR(INDEX($H$33:$H$40,MATCH($L$7,$A$33:$A$40,0)),-1),"RE DELLA GIORNATA",""))</f>
        <v/>
      </c>
      <c r="E22" s="41" t="n"/>
      <c r="K22" s="42">
        <f>IFERROR(INDEX(Partite!$E$3:$E$82,MATCH("G"&amp;TEXT($L$8,"00")&amp;"-"&amp;TEXT(3,"00"),Partite!$A$3:$A$82,0))&amp;"   -   "&amp;INDEX(Partite!$F$3:$F$82,MATCH("G"&amp;TEXT($L$8,"00")&amp;"-"&amp;TEXT(3,"00"),Partite!$A$3:$A$82,0)),"-")</f>
        <v/>
      </c>
      <c r="L22" s="43" t="n"/>
      <c r="M22" s="43" t="n"/>
      <c r="N22" s="49">
        <f>Config!$A$8</f>
        <v/>
      </c>
      <c r="O22" s="45">
        <f>IF($L$8="-","-",SUMPRODUCT((Pronostici!$B$3:$B$82=$L$8)*(((Pronostici!$K$3:$K$82&lt;&gt;"")+(Pronostici!$L$3:$L$82&lt;&gt;""))&gt;0))&amp;"/10")</f>
        <v/>
      </c>
    </row>
    <row r="23">
      <c r="B23" s="33">
        <f>Config!$A$9</f>
        <v/>
      </c>
      <c r="C23" s="24">
        <f>IF($L$7="-","-",IFERROR(INDEX($F$33:$F$40,MATCH($L$7,$A$33:$A$40,0)),"-"))</f>
        <v/>
      </c>
      <c r="D23" s="40">
        <f>IF($L$7="-","",IF(IFERROR(INDEX($F$33:$F$40,MATCH($L$7,$A$33:$A$40,0)),0)=IFERROR(INDEX($H$33:$H$40,MATCH($L$7,$A$33:$A$40,0)),-1),"RE DELLA GIORNATA",""))</f>
        <v/>
      </c>
      <c r="E23" s="41" t="n"/>
      <c r="K23" s="46">
        <f>IFERROR(INDEX(Partite!$E$3:$E$82,MATCH("G"&amp;TEXT($L$8,"00")&amp;"-"&amp;TEXT(4,"00"),Partite!$A$3:$A$82,0))&amp;"   -   "&amp;INDEX(Partite!$F$3:$F$82,MATCH("G"&amp;TEXT($L$8,"00")&amp;"-"&amp;TEXT(4,"00"),Partite!$A$3:$A$82,0)),"-")</f>
        <v/>
      </c>
      <c r="L23" s="47" t="n"/>
      <c r="M23" s="47" t="n"/>
      <c r="N23" s="50">
        <f>Config!$A$9</f>
        <v/>
      </c>
      <c r="O23" s="45">
        <f>IF($L$8="-","-",SUMPRODUCT((Pronostici!$B$3:$B$82=$L$8)*(((Pronostici!$N$3:$N$82&lt;&gt;"")+(Pronostici!$O$3:$O$82&lt;&gt;""))&gt;0))&amp;"/10")</f>
        <v/>
      </c>
    </row>
    <row r="24">
      <c r="B24" s="34">
        <f>Config!$A$10</f>
        <v/>
      </c>
      <c r="C24" s="24">
        <f>IF($L$7="-","-",IFERROR(INDEX($G$33:$G$40,MATCH($L$7,$A$33:$A$40,0)),"-"))</f>
        <v/>
      </c>
      <c r="D24" s="40">
        <f>IF($L$7="-","",IF(IFERROR(INDEX($G$33:$G$40,MATCH($L$7,$A$33:$A$40,0)),0)=IFERROR(INDEX($H$33:$H$40,MATCH($L$7,$A$33:$A$40,0)),-1),"RE DELLA GIORNATA",""))</f>
        <v/>
      </c>
      <c r="E24" s="41" t="n"/>
      <c r="K24" s="42">
        <f>IFERROR(INDEX(Partite!$E$3:$E$82,MATCH("G"&amp;TEXT($L$8,"00")&amp;"-"&amp;TEXT(5,"00"),Partite!$A$3:$A$82,0))&amp;"   -   "&amp;INDEX(Partite!$F$3:$F$82,MATCH("G"&amp;TEXT($L$8,"00")&amp;"-"&amp;TEXT(5,"00"),Partite!$A$3:$A$82,0)),"-")</f>
        <v/>
      </c>
      <c r="L24" s="43" t="n"/>
      <c r="M24" s="43" t="n"/>
      <c r="N24" s="51">
        <f>Config!$A$10</f>
        <v/>
      </c>
      <c r="O24" s="45">
        <f>IF($L$8="-","-",SUMPRODUCT((Pronostici!$B$3:$B$82=$L$8)*(((Pronostici!$Q$3:$Q$82&lt;&gt;"")+(Pronostici!$R$3:$R$82&lt;&gt;""))&gt;0))&amp;"/10")</f>
        <v/>
      </c>
    </row>
    <row r="25">
      <c r="K25" s="46">
        <f>IFERROR(INDEX(Partite!$E$3:$E$82,MATCH("G"&amp;TEXT($L$8,"00")&amp;"-"&amp;TEXT(6,"00"),Partite!$A$3:$A$82,0))&amp;"   -   "&amp;INDEX(Partite!$F$3:$F$82,MATCH("G"&amp;TEXT($L$8,"00")&amp;"-"&amp;TEXT(6,"00"),Partite!$A$3:$A$82,0)),"-")</f>
        <v/>
      </c>
      <c r="L25" s="47" t="n"/>
      <c r="M25" s="47" t="n"/>
      <c r="N25" s="35" t="inlineStr">
        <is>
          <t>chi e' sotto 10 non ha finito</t>
        </is>
      </c>
    </row>
    <row r="26">
      <c r="K26" s="42">
        <f>IFERROR(INDEX(Partite!$E$3:$E$82,MATCH("G"&amp;TEXT($L$8,"00")&amp;"-"&amp;TEXT(7,"00"),Partite!$A$3:$A$82,0))&amp;"   -   "&amp;INDEX(Partite!$F$3:$F$82,MATCH("G"&amp;TEXT($L$8,"00")&amp;"-"&amp;TEXT(7,"00"),Partite!$A$3:$A$82,0)),"-")</f>
        <v/>
      </c>
      <c r="L26" s="43" t="n"/>
      <c r="M26" s="43" t="n"/>
    </row>
    <row r="27">
      <c r="K27" s="46">
        <f>IFERROR(INDEX(Partite!$E$3:$E$82,MATCH("G"&amp;TEXT($L$8,"00")&amp;"-"&amp;TEXT(8,"00"),Partite!$A$3:$A$82,0))&amp;"   -   "&amp;INDEX(Partite!$F$3:$F$82,MATCH("G"&amp;TEXT($L$8,"00")&amp;"-"&amp;TEXT(8,"00"),Partite!$A$3:$A$82,0)),"-")</f>
        <v/>
      </c>
      <c r="L27" s="47" t="n"/>
      <c r="M27" s="47" t="n"/>
    </row>
    <row r="28">
      <c r="K28" s="42">
        <f>IFERROR(INDEX(Partite!$E$3:$E$82,MATCH("G"&amp;TEXT($L$8,"00")&amp;"-"&amp;TEXT(9,"00"),Partite!$A$3:$A$82,0))&amp;"   -   "&amp;INDEX(Partite!$F$3:$F$82,MATCH("G"&amp;TEXT($L$8,"00")&amp;"-"&amp;TEXT(9,"00"),Partite!$A$3:$A$82,0)),"-")</f>
        <v/>
      </c>
      <c r="L28" s="43" t="n"/>
      <c r="M28" s="43" t="n"/>
    </row>
    <row r="29">
      <c r="K29" s="46">
        <f>IFERROR(INDEX(Partite!$E$3:$E$82,MATCH("G"&amp;TEXT($L$8,"00")&amp;"-"&amp;TEXT(10,"00"),Partite!$A$3:$A$82,0))&amp;"   -   "&amp;INDEX(Partite!$F$3:$F$82,MATCH("G"&amp;TEXT($L$8,"00")&amp;"-"&amp;TEXT(10,"00"),Partite!$A$3:$A$82,0)),"-")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IF(COUNTIFS(Partite!$B$3:$B$82,$A33,Partite!$E$3:$E$82,"&lt;&gt;")=0,"Calendario mancante",IF(COUNTIFS(Partite!$B$3:$B$82,$A33,Partite!$K$3:$K$82,"Giocata")=0,"Non giocata",IF(COUNTIFS(Partite!$B$3:$B$82,$A33,Partite!$K$3:$K$82,"Giocata")=COUNTIFS(Partite!$B$3:$B$82,$A33,Partite!$E$3:$E$82,"&lt;&gt;"),"Completata","In corso")))</f>
        <v/>
      </c>
      <c r="C33" s="25">
        <f>SUMIF(Punti!$B$3:$B$82,$A33,Punti!$D$3:$D$82)</f>
        <v/>
      </c>
      <c r="D33" s="25">
        <f>SUMIF(Punti!$B$3:$B$82,$A33,Punti!$E$3:$E$82)</f>
        <v/>
      </c>
      <c r="E33" s="25">
        <f>SUMIF(Punti!$B$3:$B$82,$A33,Punti!$F$3:$F$82)</f>
        <v/>
      </c>
      <c r="F33" s="25">
        <f>SUMIF(Punti!$B$3:$B$82,$A33,Punti!$G$3:$G$82)</f>
        <v/>
      </c>
      <c r="G33" s="25">
        <f>SUMIF(Punti!$B$3:$B$82,$A33,Punti!$H$3:$H$82)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IF(COUNTIFS(Partite!$B$3:$B$82,$A34,Partite!$E$3:$E$82,"&lt;&gt;")=0,"Calendario mancante",IF(COUNTIFS(Partite!$B$3:$B$82,$A34,Partite!$K$3:$K$82,"Giocata")=0,"Non giocata",IF(COUNTIFS(Partite!$B$3:$B$82,$A34,Partite!$K$3:$K$82,"Giocata")=COUNTIFS(Partite!$B$3:$B$82,$A34,Partite!$E$3:$E$82,"&lt;&gt;"),"Completata","In corso")))</f>
        <v/>
      </c>
      <c r="C34" s="30">
        <f>SUMIF(Punti!$B$3:$B$82,$A34,Punti!$D$3:$D$82)</f>
        <v/>
      </c>
      <c r="D34" s="30">
        <f>SUMIF(Punti!$B$3:$B$82,$A34,Punti!$E$3:$E$82)</f>
        <v/>
      </c>
      <c r="E34" s="30">
        <f>SUMIF(Punti!$B$3:$B$82,$A34,Punti!$F$3:$F$82)</f>
        <v/>
      </c>
      <c r="F34" s="30">
        <f>SUMIF(Punti!$B$3:$B$82,$A34,Punti!$G$3:$G$82)</f>
        <v/>
      </c>
      <c r="G34" s="30">
        <f>SUMIF(Punti!$B$3:$B$82,$A34,Punti!$H$3:$H$82)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IF(COUNTIFS(Partite!$B$3:$B$82,$A35,Partite!$E$3:$E$82,"&lt;&gt;")=0,"Calendario mancante",IF(COUNTIFS(Partite!$B$3:$B$82,$A35,Partite!$K$3:$K$82,"Giocata")=0,"Non giocata",IF(COUNTIFS(Partite!$B$3:$B$82,$A35,Partite!$K$3:$K$82,"Giocata")=COUNTIFS(Partite!$B$3:$B$82,$A35,Partite!$E$3:$E$82,"&lt;&gt;"),"Completata","In corso")))</f>
        <v/>
      </c>
      <c r="C35" s="25">
        <f>SUMIF(Punti!$B$3:$B$82,$A35,Punti!$D$3:$D$82)</f>
        <v/>
      </c>
      <c r="D35" s="25">
        <f>SUMIF(Punti!$B$3:$B$82,$A35,Punti!$E$3:$E$82)</f>
        <v/>
      </c>
      <c r="E35" s="25">
        <f>SUMIF(Punti!$B$3:$B$82,$A35,Punti!$F$3:$F$82)</f>
        <v/>
      </c>
      <c r="F35" s="25">
        <f>SUMIF(Punti!$B$3:$B$82,$A35,Punti!$G$3:$G$82)</f>
        <v/>
      </c>
      <c r="G35" s="25">
        <f>SUMIF(Punti!$B$3:$B$82,$A35,Punti!$H$3:$H$82)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IF(COUNTIFS(Partite!$B$3:$B$82,$A36,Partite!$E$3:$E$82,"&lt;&gt;")=0,"Calendario mancante",IF(COUNTIFS(Partite!$B$3:$B$82,$A36,Partite!$K$3:$K$82,"Giocata")=0,"Non giocata",IF(COUNTIFS(Partite!$B$3:$B$82,$A36,Partite!$K$3:$K$82,"Giocata")=COUNTIFS(Partite!$B$3:$B$82,$A36,Partite!$E$3:$E$82,"&lt;&gt;"),"Completata","In corso")))</f>
        <v/>
      </c>
      <c r="C36" s="30">
        <f>SUMIF(Punti!$B$3:$B$82,$A36,Punti!$D$3:$D$82)</f>
        <v/>
      </c>
      <c r="D36" s="30">
        <f>SUMIF(Punti!$B$3:$B$82,$A36,Punti!$E$3:$E$82)</f>
        <v/>
      </c>
      <c r="E36" s="30">
        <f>SUMIF(Punti!$B$3:$B$82,$A36,Punti!$F$3:$F$82)</f>
        <v/>
      </c>
      <c r="F36" s="30">
        <f>SUMIF(Punti!$B$3:$B$82,$A36,Punti!$G$3:$G$82)</f>
        <v/>
      </c>
      <c r="G36" s="30">
        <f>SUMIF(Punti!$B$3:$B$82,$A36,Punti!$H$3:$H$82)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IF(COUNTIFS(Partite!$B$3:$B$82,$A37,Partite!$E$3:$E$82,"&lt;&gt;")=0,"Calendario mancante",IF(COUNTIFS(Partite!$B$3:$B$82,$A37,Partite!$K$3:$K$82,"Giocata")=0,"Non giocata",IF(COUNTIFS(Partite!$B$3:$B$82,$A37,Partite!$K$3:$K$82,"Giocata")=COUNTIFS(Partite!$B$3:$B$82,$A37,Partite!$E$3:$E$82,"&lt;&gt;"),"Completata","In corso")))</f>
        <v/>
      </c>
      <c r="C37" s="25">
        <f>SUMIF(Punti!$B$3:$B$82,$A37,Punti!$D$3:$D$82)</f>
        <v/>
      </c>
      <c r="D37" s="25">
        <f>SUMIF(Punti!$B$3:$B$82,$A37,Punti!$E$3:$E$82)</f>
        <v/>
      </c>
      <c r="E37" s="25">
        <f>SUMIF(Punti!$B$3:$B$82,$A37,Punti!$F$3:$F$82)</f>
        <v/>
      </c>
      <c r="F37" s="25">
        <f>SUMIF(Punti!$B$3:$B$82,$A37,Punti!$G$3:$G$82)</f>
        <v/>
      </c>
      <c r="G37" s="25">
        <f>SUMIF(Punti!$B$3:$B$82,$A37,Punti!$H$3:$H$82)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IF(COUNTIFS(Partite!$B$3:$B$82,$A38,Partite!$E$3:$E$82,"&lt;&gt;")=0,"Calendario mancante",IF(COUNTIFS(Partite!$B$3:$B$82,$A38,Partite!$K$3:$K$82,"Giocata")=0,"Non giocata",IF(COUNTIFS(Partite!$B$3:$B$82,$A38,Partite!$K$3:$K$82,"Giocata")=COUNTIFS(Partite!$B$3:$B$82,$A38,Partite!$E$3:$E$82,"&lt;&gt;"),"Completata","In corso")))</f>
        <v/>
      </c>
      <c r="C38" s="30">
        <f>SUMIF(Punti!$B$3:$B$82,$A38,Punti!$D$3:$D$82)</f>
        <v/>
      </c>
      <c r="D38" s="30">
        <f>SUMIF(Punti!$B$3:$B$82,$A38,Punti!$E$3:$E$82)</f>
        <v/>
      </c>
      <c r="E38" s="30">
        <f>SUMIF(Punti!$B$3:$B$82,$A38,Punti!$F$3:$F$82)</f>
        <v/>
      </c>
      <c r="F38" s="30">
        <f>SUMIF(Punti!$B$3:$B$82,$A38,Punti!$G$3:$G$82)</f>
        <v/>
      </c>
      <c r="G38" s="30">
        <f>SUMIF(Punti!$B$3:$B$82,$A38,Punti!$H$3:$H$82)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IF(COUNTIFS(Partite!$B$3:$B$82,$A39,Partite!$E$3:$E$82,"&lt;&gt;")=0,"Calendario mancante",IF(COUNTIFS(Partite!$B$3:$B$82,$A39,Partite!$K$3:$K$82,"Giocata")=0,"Non giocata",IF(COUNTIFS(Partite!$B$3:$B$82,$A39,Partite!$K$3:$K$82,"Giocata")=COUNTIFS(Partite!$B$3:$B$82,$A39,Partite!$E$3:$E$82,"&lt;&gt;"),"Completata","In corso")))</f>
        <v/>
      </c>
      <c r="C39" s="25">
        <f>SUMIF(Punti!$B$3:$B$82,$A39,Punti!$D$3:$D$82)</f>
        <v/>
      </c>
      <c r="D39" s="25">
        <f>SUMIF(Punti!$B$3:$B$82,$A39,Punti!$E$3:$E$82)</f>
        <v/>
      </c>
      <c r="E39" s="25">
        <f>SUMIF(Punti!$B$3:$B$82,$A39,Punti!$F$3:$F$82)</f>
        <v/>
      </c>
      <c r="F39" s="25">
        <f>SUMIF(Punti!$B$3:$B$82,$A39,Punti!$G$3:$G$82)</f>
        <v/>
      </c>
      <c r="G39" s="25">
        <f>SUMIF(Punti!$B$3:$B$82,$A39,Punti!$H$3:$H$82)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IF(COUNTIFS(Partite!$B$3:$B$82,$A40,Partite!$E$3:$E$82,"&lt;&gt;")=0,"Calendario mancante",IF(COUNTIFS(Partite!$B$3:$B$82,$A40,Partite!$K$3:$K$82,"Giocata")=0,"Non giocata",IF(COUNTIFS(Partite!$B$3:$B$82,$A40,Partite!$K$3:$K$82,"Giocata")=COUNTIFS(Partite!$B$3:$B$82,$A40,Partite!$E$3:$E$82,"&lt;&gt;"),"Completata","In corso")))</f>
        <v/>
      </c>
      <c r="C40" s="30">
        <f>SUMIF(Punti!$B$3:$B$82,$A40,Punti!$D$3:$D$82)</f>
        <v/>
      </c>
      <c r="D40" s="30">
        <f>SUMIF(Punti!$B$3:$B$82,$A40,Punti!$E$3:$E$82)</f>
        <v/>
      </c>
      <c r="E40" s="30">
        <f>SUMIF(Punti!$B$3:$B$82,$A40,Punti!$F$3:$F$82)</f>
        <v/>
      </c>
      <c r="F40" s="30">
        <f>SUMIF(Punti!$B$3:$B$82,$A40,Punti!$G$3:$G$82)</f>
        <v/>
      </c>
      <c r="G40" s="30">
        <f>SUMIF(Punti!$B$3:$B$82,$A40,Punti!$H$3:$H$82)</f>
        <v/>
      </c>
      <c r="H40" s="61">
        <f>MAX($C40:$G40)</f>
        <v/>
      </c>
      <c r="I40" s="64">
        <f>IF($H40&lt;=0,"-",INDEX($C$32:$G$32,MATCH($H40,$C40:$G40,0))&amp;IF(COUNTIF($C40:$G40,$H40)&gt;1," (a pari)","")&amp;IF($B40="Completata",""," - in corso"))</f>
        <v/>
      </c>
      <c r="R40" s="63">
        <f>R39+C40</f>
        <v/>
      </c>
      <c r="S40" s="63">
        <f>S39+D40</f>
        <v/>
      </c>
      <c r="T40" s="63">
        <f>T39+E40</f>
        <v/>
      </c>
      <c r="U40" s="63">
        <f>U39+F40</f>
        <v/>
      </c>
      <c r="V40" s="63">
        <f>V39+G40</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0">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8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0</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c r="H63" s="71" t="n"/>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c r="H64" s="71" t="n"/>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c r="H65" s="71" t="n"/>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c r="H66" s="71" t="n"/>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c r="H67" s="71" t="n"/>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c r="H68" s="71" t="n"/>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c r="H73" s="71" t="n"/>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c r="H74" s="71" t="n"/>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c r="H75" s="71" t="n"/>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c r="H76" s="71" t="n"/>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c r="H77" s="71" t="n"/>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c r="H78" s="71" t="n"/>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c r="H80" s="71" t="n"/>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sheetData>
  <autoFilter ref="A2:K82"/>
  <mergeCells count="3">
    <mergeCell ref="G1:H1"/>
    <mergeCell ref="A1:F1"/>
    <mergeCell ref="I1:K1"/>
  </mergeCells>
  <conditionalFormatting sqref="K3:K8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8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n"/>
      <c r="F63" s="71" t="n"/>
      <c r="G63" s="71" t="n"/>
      <c r="H63" s="71" t="n"/>
      <c r="I63" s="71" t="n"/>
      <c r="J63" s="71" t="n"/>
      <c r="K63" s="71" t="n"/>
      <c r="L63" s="71" t="n"/>
      <c r="M63" s="71" t="n"/>
      <c r="N63" s="71" t="n"/>
      <c r="O63" s="71" t="n"/>
      <c r="P63" s="71" t="n"/>
      <c r="Q63" s="71" t="n"/>
      <c r="R63" s="71" t="n"/>
      <c r="S63" s="71" t="n"/>
    </row>
    <row r="64">
      <c r="A64" s="69">
        <f>Partite!$A64</f>
        <v/>
      </c>
      <c r="B64" s="25">
        <f>Partite!$B64</f>
        <v/>
      </c>
      <c r="C64" s="70">
        <f>IF(Partite!$E64="","",Partite!$E64)</f>
        <v/>
      </c>
      <c r="D64" s="70">
        <f>IF(Partite!$F64="","",Partite!$F64)</f>
        <v/>
      </c>
      <c r="E64" s="71" t="n"/>
      <c r="F64" s="71" t="n"/>
      <c r="G64" s="71" t="n"/>
      <c r="H64" s="71" t="n"/>
      <c r="I64" s="71" t="n"/>
      <c r="J64" s="71" t="n"/>
      <c r="K64" s="71" t="n"/>
      <c r="L64" s="71" t="n"/>
      <c r="M64" s="71" t="n"/>
      <c r="N64" s="71" t="n"/>
      <c r="O64" s="71" t="n"/>
      <c r="P64" s="71" t="n"/>
      <c r="Q64" s="71" t="n"/>
      <c r="R64" s="71" t="n"/>
      <c r="S64" s="71" t="n"/>
    </row>
    <row r="65">
      <c r="A65" s="69">
        <f>Partite!$A65</f>
        <v/>
      </c>
      <c r="B65" s="25">
        <f>Partite!$B65</f>
        <v/>
      </c>
      <c r="C65" s="70">
        <f>IF(Partite!$E65="","",Partite!$E65)</f>
        <v/>
      </c>
      <c r="D65" s="70">
        <f>IF(Partite!$F65="","",Partite!$F65)</f>
        <v/>
      </c>
      <c r="E65" s="71" t="n"/>
      <c r="F65" s="71" t="n"/>
      <c r="G65" s="71" t="n"/>
      <c r="H65" s="71" t="n"/>
      <c r="I65" s="71" t="n"/>
      <c r="J65" s="71" t="n"/>
      <c r="K65" s="71" t="n"/>
      <c r="L65" s="71" t="n"/>
      <c r="M65" s="71" t="n"/>
      <c r="N65" s="71" t="n"/>
      <c r="O65" s="71" t="n"/>
      <c r="P65" s="71" t="n"/>
      <c r="Q65" s="71" t="n"/>
      <c r="R65" s="71" t="n"/>
      <c r="S65" s="71" t="n"/>
    </row>
    <row r="66">
      <c r="A66" s="69">
        <f>Partite!$A66</f>
        <v/>
      </c>
      <c r="B66" s="25">
        <f>Partite!$B66</f>
        <v/>
      </c>
      <c r="C66" s="70">
        <f>IF(Partite!$E66="","",Partite!$E66)</f>
        <v/>
      </c>
      <c r="D66" s="70">
        <f>IF(Partite!$F66="","",Partite!$F66)</f>
        <v/>
      </c>
      <c r="E66" s="71" t="n"/>
      <c r="F66" s="71" t="n"/>
      <c r="G66" s="71" t="n"/>
      <c r="H66" s="71" t="n"/>
      <c r="I66" s="71" t="n"/>
      <c r="J66" s="71" t="n"/>
      <c r="K66" s="71" t="n"/>
      <c r="L66" s="71" t="n"/>
      <c r="M66" s="71" t="n"/>
      <c r="N66" s="71" t="n"/>
      <c r="O66" s="71" t="n"/>
      <c r="P66" s="71" t="n"/>
      <c r="Q66" s="71" t="n"/>
      <c r="R66" s="71" t="n"/>
      <c r="S66" s="71" t="n"/>
    </row>
    <row r="67">
      <c r="A67" s="69">
        <f>Partite!$A67</f>
        <v/>
      </c>
      <c r="B67" s="25">
        <f>Partite!$B67</f>
        <v/>
      </c>
      <c r="C67" s="70">
        <f>IF(Partite!$E67="","",Partite!$E67)</f>
        <v/>
      </c>
      <c r="D67" s="70">
        <f>IF(Partite!$F67="","",Partite!$F67)</f>
        <v/>
      </c>
      <c r="E67" s="71" t="n"/>
      <c r="F67" s="71" t="n"/>
      <c r="G67" s="71" t="n"/>
      <c r="H67" s="71" t="n"/>
      <c r="I67" s="71" t="n"/>
      <c r="J67" s="71" t="n"/>
      <c r="K67" s="71" t="n"/>
      <c r="L67" s="71" t="n"/>
      <c r="M67" s="71" t="n"/>
      <c r="N67" s="71" t="n"/>
      <c r="O67" s="71" t="n"/>
      <c r="P67" s="71" t="n"/>
      <c r="Q67" s="71" t="n"/>
      <c r="R67" s="71" t="n"/>
      <c r="S67" s="71" t="n"/>
    </row>
    <row r="68">
      <c r="A68" s="69">
        <f>Partite!$A68</f>
        <v/>
      </c>
      <c r="B68" s="25">
        <f>Partite!$B68</f>
        <v/>
      </c>
      <c r="C68" s="70">
        <f>IF(Partite!$E68="","",Partite!$E68)</f>
        <v/>
      </c>
      <c r="D68" s="70">
        <f>IF(Partite!$F68="","",Partite!$F68)</f>
        <v/>
      </c>
      <c r="E68" s="71" t="n"/>
      <c r="F68" s="71" t="n"/>
      <c r="G68" s="71" t="n"/>
      <c r="H68" s="71" t="n"/>
      <c r="I68" s="71" t="n"/>
      <c r="J68" s="71" t="n"/>
      <c r="K68" s="71" t="n"/>
      <c r="L68" s="71" t="n"/>
      <c r="M68" s="71" t="n"/>
      <c r="N68" s="71" t="n"/>
      <c r="O68" s="71" t="n"/>
      <c r="P68" s="71" t="n"/>
      <c r="Q68" s="71" t="n"/>
      <c r="R68" s="71" t="n"/>
      <c r="S68" s="71" t="n"/>
    </row>
    <row r="69">
      <c r="A69" s="69">
        <f>Partite!$A69</f>
        <v/>
      </c>
      <c r="B69" s="25">
        <f>Partite!$B69</f>
        <v/>
      </c>
      <c r="C69" s="70">
        <f>IF(Partite!$E69="","",Partite!$E69)</f>
        <v/>
      </c>
      <c r="D69" s="70">
        <f>IF(Partite!$F69="","",Partite!$F69)</f>
        <v/>
      </c>
      <c r="E69" s="71" t="n"/>
      <c r="F69" s="71" t="n"/>
      <c r="G69" s="71" t="n"/>
      <c r="H69" s="71" t="n"/>
      <c r="I69" s="71" t="n"/>
      <c r="J69" s="71" t="n"/>
      <c r="K69" s="71" t="n"/>
      <c r="L69" s="71" t="n"/>
      <c r="M69" s="71" t="n"/>
      <c r="N69" s="71" t="n"/>
      <c r="O69" s="71" t="n"/>
      <c r="P69" s="71" t="n"/>
      <c r="Q69" s="71" t="n"/>
      <c r="R69" s="71" t="n"/>
      <c r="S69" s="71" t="n"/>
    </row>
    <row r="70">
      <c r="A70" s="69">
        <f>Partite!$A70</f>
        <v/>
      </c>
      <c r="B70" s="25">
        <f>Partite!$B70</f>
        <v/>
      </c>
      <c r="C70" s="70">
        <f>IF(Partite!$E70="","",Partite!$E70)</f>
        <v/>
      </c>
      <c r="D70" s="70">
        <f>IF(Partite!$F70="","",Partite!$F70)</f>
        <v/>
      </c>
      <c r="E70" s="71" t="n"/>
      <c r="F70" s="71" t="n"/>
      <c r="G70" s="71" t="n"/>
      <c r="H70" s="71" t="n"/>
      <c r="I70" s="71" t="n"/>
      <c r="J70" s="71" t="n"/>
      <c r="K70" s="71" t="n"/>
      <c r="L70" s="71" t="n"/>
      <c r="M70" s="71" t="n"/>
      <c r="N70" s="71" t="n"/>
      <c r="O70" s="71" t="n"/>
      <c r="P70" s="71" t="n"/>
      <c r="Q70" s="71" t="n"/>
      <c r="R70" s="71" t="n"/>
      <c r="S70" s="71" t="n"/>
    </row>
    <row r="71">
      <c r="A71" s="69">
        <f>Partite!$A71</f>
        <v/>
      </c>
      <c r="B71" s="25">
        <f>Partite!$B71</f>
        <v/>
      </c>
      <c r="C71" s="70">
        <f>IF(Partite!$E71="","",Partite!$E71)</f>
        <v/>
      </c>
      <c r="D71" s="70">
        <f>IF(Partite!$F71="","",Partite!$F71)</f>
        <v/>
      </c>
      <c r="E71" s="71" t="n"/>
      <c r="F71" s="71" t="n"/>
      <c r="G71" s="71" t="n"/>
      <c r="H71" s="71" t="n"/>
      <c r="I71" s="71" t="n"/>
      <c r="J71" s="71" t="n"/>
      <c r="K71" s="71" t="n"/>
      <c r="L71" s="71" t="n"/>
      <c r="M71" s="71" t="n"/>
      <c r="N71" s="71" t="n"/>
      <c r="O71" s="71" t="n"/>
      <c r="P71" s="71" t="n"/>
      <c r="Q71" s="71" t="n"/>
      <c r="R71" s="71" t="n"/>
      <c r="S71" s="71" t="n"/>
    </row>
    <row r="72">
      <c r="A72" s="69">
        <f>Partite!$A72</f>
        <v/>
      </c>
      <c r="B72" s="25">
        <f>Partite!$B72</f>
        <v/>
      </c>
      <c r="C72" s="70">
        <f>IF(Partite!$E72="","",Partite!$E72)</f>
        <v/>
      </c>
      <c r="D72" s="70">
        <f>IF(Partite!$F72="","",Partite!$F72)</f>
        <v/>
      </c>
      <c r="E72" s="71" t="n"/>
      <c r="F72" s="71" t="n"/>
      <c r="G72" s="71" t="n"/>
      <c r="H72" s="71" t="n"/>
      <c r="I72" s="71" t="n"/>
      <c r="J72" s="71" t="n"/>
      <c r="K72" s="71" t="n"/>
      <c r="L72" s="71" t="n"/>
      <c r="M72" s="71" t="n"/>
      <c r="N72" s="71" t="n"/>
      <c r="O72" s="71" t="n"/>
      <c r="P72" s="71" t="n"/>
      <c r="Q72" s="71" t="n"/>
      <c r="R72" s="71" t="n"/>
      <c r="S72" s="71" t="n"/>
    </row>
    <row r="73">
      <c r="A73" s="74">
        <f>Partite!$A73</f>
        <v/>
      </c>
      <c r="B73" s="30">
        <f>Partite!$B73</f>
        <v/>
      </c>
      <c r="C73" s="75">
        <f>IF(Partite!$E73="","",Partite!$E73)</f>
        <v/>
      </c>
      <c r="D73" s="75">
        <f>IF(Partite!$F73="","",Partite!$F73)</f>
        <v/>
      </c>
      <c r="E73" s="71" t="n"/>
      <c r="F73" s="71" t="n"/>
      <c r="G73" s="71" t="n"/>
      <c r="H73" s="71" t="n"/>
      <c r="I73" s="71" t="n"/>
      <c r="J73" s="71" t="n"/>
      <c r="K73" s="71" t="n"/>
      <c r="L73" s="71" t="n"/>
      <c r="M73" s="71" t="n"/>
      <c r="N73" s="71" t="n"/>
      <c r="O73" s="71" t="n"/>
      <c r="P73" s="71" t="n"/>
      <c r="Q73" s="71" t="n"/>
      <c r="R73" s="71" t="n"/>
      <c r="S73" s="71" t="n"/>
    </row>
    <row r="74">
      <c r="A74" s="74">
        <f>Partite!$A74</f>
        <v/>
      </c>
      <c r="B74" s="30">
        <f>Partite!$B74</f>
        <v/>
      </c>
      <c r="C74" s="75">
        <f>IF(Partite!$E74="","",Partite!$E74)</f>
        <v/>
      </c>
      <c r="D74" s="75">
        <f>IF(Partite!$F74="","",Partite!$F74)</f>
        <v/>
      </c>
      <c r="E74" s="71" t="n"/>
      <c r="F74" s="71" t="n"/>
      <c r="G74" s="71" t="n"/>
      <c r="H74" s="71" t="n"/>
      <c r="I74" s="71" t="n"/>
      <c r="J74" s="71" t="n"/>
      <c r="K74" s="71" t="n"/>
      <c r="L74" s="71" t="n"/>
      <c r="M74" s="71" t="n"/>
      <c r="N74" s="71" t="n"/>
      <c r="O74" s="71" t="n"/>
      <c r="P74" s="71" t="n"/>
      <c r="Q74" s="71" t="n"/>
      <c r="R74" s="71" t="n"/>
      <c r="S74" s="71" t="n"/>
    </row>
    <row r="75">
      <c r="A75" s="74">
        <f>Partite!$A75</f>
        <v/>
      </c>
      <c r="B75" s="30">
        <f>Partite!$B75</f>
        <v/>
      </c>
      <c r="C75" s="75">
        <f>IF(Partite!$E75="","",Partite!$E75)</f>
        <v/>
      </c>
      <c r="D75" s="75">
        <f>IF(Partite!$F75="","",Partite!$F75)</f>
        <v/>
      </c>
      <c r="E75" s="71" t="n"/>
      <c r="F75" s="71" t="n"/>
      <c r="G75" s="71" t="n"/>
      <c r="H75" s="71" t="n"/>
      <c r="I75" s="71" t="n"/>
      <c r="J75" s="71" t="n"/>
      <c r="K75" s="71" t="n"/>
      <c r="L75" s="71" t="n"/>
      <c r="M75" s="71" t="n"/>
      <c r="N75" s="71" t="n"/>
      <c r="O75" s="71" t="n"/>
      <c r="P75" s="71" t="n"/>
      <c r="Q75" s="71" t="n"/>
      <c r="R75" s="71" t="n"/>
      <c r="S75" s="71" t="n"/>
    </row>
    <row r="76">
      <c r="A76" s="74">
        <f>Partite!$A76</f>
        <v/>
      </c>
      <c r="B76" s="30">
        <f>Partite!$B76</f>
        <v/>
      </c>
      <c r="C76" s="75">
        <f>IF(Partite!$E76="","",Partite!$E76)</f>
        <v/>
      </c>
      <c r="D76" s="75">
        <f>IF(Partite!$F76="","",Partite!$F76)</f>
        <v/>
      </c>
      <c r="E76" s="71" t="n"/>
      <c r="F76" s="71" t="n"/>
      <c r="G76" s="71" t="n"/>
      <c r="H76" s="71" t="n"/>
      <c r="I76" s="71" t="n"/>
      <c r="J76" s="71" t="n"/>
      <c r="K76" s="71" t="n"/>
      <c r="L76" s="71" t="n"/>
      <c r="M76" s="71" t="n"/>
      <c r="N76" s="71" t="n"/>
      <c r="O76" s="71" t="n"/>
      <c r="P76" s="71" t="n"/>
      <c r="Q76" s="71" t="n"/>
      <c r="R76" s="71" t="n"/>
      <c r="S76" s="71" t="n"/>
    </row>
    <row r="77">
      <c r="A77" s="74">
        <f>Partite!$A77</f>
        <v/>
      </c>
      <c r="B77" s="30">
        <f>Partite!$B77</f>
        <v/>
      </c>
      <c r="C77" s="75">
        <f>IF(Partite!$E77="","",Partite!$E77)</f>
        <v/>
      </c>
      <c r="D77" s="75">
        <f>IF(Partite!$F77="","",Partite!$F77)</f>
        <v/>
      </c>
      <c r="E77" s="71" t="n"/>
      <c r="F77" s="71" t="n"/>
      <c r="G77" s="71" t="n"/>
      <c r="H77" s="71" t="n"/>
      <c r="I77" s="71" t="n"/>
      <c r="J77" s="71" t="n"/>
      <c r="K77" s="71" t="n"/>
      <c r="L77" s="71" t="n"/>
      <c r="M77" s="71" t="n"/>
      <c r="N77" s="71" t="n"/>
      <c r="O77" s="71" t="n"/>
      <c r="P77" s="71" t="n"/>
      <c r="Q77" s="71" t="n"/>
      <c r="R77" s="71" t="n"/>
      <c r="S77" s="71" t="n"/>
    </row>
    <row r="78">
      <c r="A78" s="74">
        <f>Partite!$A78</f>
        <v/>
      </c>
      <c r="B78" s="30">
        <f>Partite!$B78</f>
        <v/>
      </c>
      <c r="C78" s="75">
        <f>IF(Partite!$E78="","",Partite!$E78)</f>
        <v/>
      </c>
      <c r="D78" s="75">
        <f>IF(Partite!$F78="","",Partite!$F78)</f>
        <v/>
      </c>
      <c r="E78" s="71" t="n"/>
      <c r="F78" s="71" t="n"/>
      <c r="G78" s="71" t="n"/>
      <c r="H78" s="71" t="n"/>
      <c r="I78" s="71" t="n"/>
      <c r="J78" s="71" t="n"/>
      <c r="K78" s="71" t="n"/>
      <c r="L78" s="71" t="n"/>
      <c r="M78" s="71" t="n"/>
      <c r="N78" s="71" t="n"/>
      <c r="O78" s="71" t="n"/>
      <c r="P78" s="71" t="n"/>
      <c r="Q78" s="71" t="n"/>
      <c r="R78" s="71" t="n"/>
      <c r="S78" s="71" t="n"/>
    </row>
    <row r="79">
      <c r="A79" s="74">
        <f>Partite!$A79</f>
        <v/>
      </c>
      <c r="B79" s="30">
        <f>Partite!$B79</f>
        <v/>
      </c>
      <c r="C79" s="75">
        <f>IF(Partite!$E79="","",Partite!$E79)</f>
        <v/>
      </c>
      <c r="D79" s="75">
        <f>IF(Partite!$F79="","",Partite!$F79)</f>
        <v/>
      </c>
      <c r="E79" s="71" t="n"/>
      <c r="F79" s="71" t="n"/>
      <c r="G79" s="71" t="n"/>
      <c r="H79" s="71" t="n"/>
      <c r="I79" s="71" t="n"/>
      <c r="J79" s="71" t="n"/>
      <c r="K79" s="71" t="n"/>
      <c r="L79" s="71" t="n"/>
      <c r="M79" s="71" t="n"/>
      <c r="N79" s="71" t="n"/>
      <c r="O79" s="71" t="n"/>
      <c r="P79" s="71" t="n"/>
      <c r="Q79" s="71" t="n"/>
      <c r="R79" s="71" t="n"/>
      <c r="S79" s="71" t="n"/>
    </row>
    <row r="80">
      <c r="A80" s="74">
        <f>Partite!$A80</f>
        <v/>
      </c>
      <c r="B80" s="30">
        <f>Partite!$B80</f>
        <v/>
      </c>
      <c r="C80" s="75">
        <f>IF(Partite!$E80="","",Partite!$E80)</f>
        <v/>
      </c>
      <c r="D80" s="75">
        <f>IF(Partite!$F80="","",Partite!$F80)</f>
        <v/>
      </c>
      <c r="E80" s="71" t="n"/>
      <c r="F80" s="71" t="n"/>
      <c r="G80" s="71" t="n"/>
      <c r="H80" s="71" t="n"/>
      <c r="I80" s="71" t="n"/>
      <c r="J80" s="71" t="n"/>
      <c r="K80" s="71" t="n"/>
      <c r="L80" s="71" t="n"/>
      <c r="M80" s="71" t="n"/>
      <c r="N80" s="71" t="n"/>
      <c r="O80" s="71" t="n"/>
      <c r="P80" s="71" t="n"/>
      <c r="Q80" s="71" t="n"/>
      <c r="R80" s="71" t="n"/>
      <c r="S80" s="71" t="n"/>
    </row>
    <row r="81">
      <c r="A81" s="74">
        <f>Partite!$A81</f>
        <v/>
      </c>
      <c r="B81" s="30">
        <f>Partite!$B81</f>
        <v/>
      </c>
      <c r="C81" s="75">
        <f>IF(Partite!$E81="","",Partite!$E81)</f>
        <v/>
      </c>
      <c r="D81" s="75">
        <f>IF(Partite!$F81="","",Partite!$F81)</f>
        <v/>
      </c>
      <c r="E81" s="71" t="n"/>
      <c r="F81" s="71" t="n"/>
      <c r="G81" s="71" t="n"/>
      <c r="H81" s="71" t="n"/>
      <c r="I81" s="71" t="n"/>
      <c r="J81" s="71" t="n"/>
      <c r="K81" s="71" t="n"/>
      <c r="L81" s="71" t="n"/>
      <c r="M81" s="71" t="n"/>
      <c r="N81" s="71" t="n"/>
      <c r="O81" s="71" t="n"/>
      <c r="P81" s="71" t="n"/>
      <c r="Q81" s="71" t="n"/>
      <c r="R81" s="71" t="n"/>
      <c r="S81" s="71" t="n"/>
    </row>
    <row r="82">
      <c r="A82" s="74">
        <f>Partite!$A82</f>
        <v/>
      </c>
      <c r="B82" s="30">
        <f>Partite!$B82</f>
        <v/>
      </c>
      <c r="C82" s="75">
        <f>IF(Partite!$E82="","",Partite!$E82)</f>
        <v/>
      </c>
      <c r="D82" s="75">
        <f>IF(Partite!$F82="","",Partite!$F82)</f>
        <v/>
      </c>
      <c r="E82" s="71" t="n"/>
      <c r="F82" s="71" t="n"/>
      <c r="G82" s="71" t="n"/>
      <c r="H82" s="71" t="n"/>
      <c r="I82" s="71" t="n"/>
      <c r="J82" s="71" t="n"/>
      <c r="K82" s="71" t="n"/>
      <c r="L82" s="71" t="n"/>
      <c r="M82" s="71" t="n"/>
      <c r="N82" s="71" t="n"/>
      <c r="O82" s="71" t="n"/>
      <c r="P82" s="71" t="n"/>
      <c r="Q82" s="71" t="n"/>
      <c r="R82" s="71" t="n"/>
      <c r="S82" s="71" t="n"/>
    </row>
  </sheetData>
  <autoFilter ref="A2:D8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8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sheetData>
  <mergeCells count="1">
    <mergeCell ref="A1:H1"/>
  </mergeCells>
  <conditionalFormatting sqref="D3:D82">
    <cfRule type="cellIs" priority="1" operator="greaterThanOrEqual" dxfId="0">
      <formula>3</formula>
    </cfRule>
    <cfRule type="cellIs" priority="2" operator="equal" dxfId="1">
      <formula>1</formula>
    </cfRule>
  </conditionalFormatting>
  <conditionalFormatting sqref="E3:E82">
    <cfRule type="cellIs" priority="3" operator="greaterThanOrEqual" dxfId="0">
      <formula>3</formula>
    </cfRule>
    <cfRule type="cellIs" priority="4" operator="equal" dxfId="1">
      <formula>1</formula>
    </cfRule>
  </conditionalFormatting>
  <conditionalFormatting sqref="F3:F82">
    <cfRule type="cellIs" priority="5" operator="greaterThanOrEqual" dxfId="0">
      <formula>3</formula>
    </cfRule>
    <cfRule type="cellIs" priority="6" operator="equal" dxfId="1">
      <formula>1</formula>
    </cfRule>
  </conditionalFormatting>
  <conditionalFormatting sqref="G3:G82">
    <cfRule type="cellIs" priority="7" operator="greaterThanOrEqual" dxfId="0">
      <formula>3</formula>
    </cfRule>
    <cfRule type="cellIs" priority="8" operator="equal" dxfId="1">
      <formula>1</formula>
    </cfRule>
  </conditionalFormatting>
  <conditionalFormatting sqref="H3:H8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2026-10-23T14:44:40Z</dcterms:created>
  <dcterms:modified xsi:type="dcterms:W3CDTF">2026-10-23T14:44:40Z</dcterms:modified>
</cp:coreProperties>
</file>