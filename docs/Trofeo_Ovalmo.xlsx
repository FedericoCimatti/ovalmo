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'Partite'!$A$2:$K$52</definedName>
    <definedName name="_xlnm._FilterDatabase" localSheetId="2" hidden="1">'Pronostici'!$A$2:$D$52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'Classifica'!$A$33:$A$37</f>
            </numRef>
          </cat>
          <val>
            <numRef>
              <f>'Classifica'!$R$33:$R$37</f>
            </numRef>
          </val>
          <smooth val="0"/>
        </ser>
        <ser>
          <idx val="1"/>
          <order val="1"/>
          <tx>
            <strRef>
              <f>'Classifica'!S32</f>
            </strRef>
          </tx>
          <spPr>
            <a:ln w="22000">
              <a:solidFill>
                <a:srgbClr val="3E8E5A"/>
              </a:solidFill>
              <a:prstDash val="solid"/>
            </a:ln>
          </spPr>
          <marker>
            <symbol val="circle"/>
            <size val="6"/>
            <spPr>
              <a:ln>
                <a:prstDash val="solid"/>
              </a:ln>
            </spPr>
          </marker>
          <cat>
            <numRef>
              <f>'Classifica'!$A$33:$A$37</f>
            </numRef>
          </cat>
          <val>
            <numRef>
              <f>'Classifica'!$S$33:$S$37</f>
            </numRef>
          </val>
          <smooth val="0"/>
        </ser>
        <ser>
          <idx val="2"/>
          <order val="2"/>
          <tx>
            <strRef>
              <f>'Classifica'!T32</f>
            </strRef>
          </tx>
          <spPr>
            <a:ln w="22000">
              <a:solidFill>
                <a:srgbClr val="C2622F"/>
              </a:solidFill>
              <a:prstDash val="solid"/>
            </a:ln>
          </spPr>
          <marker>
            <symbol val="circle"/>
            <size val="6"/>
            <spPr>
              <a:ln>
                <a:prstDash val="solid"/>
              </a:ln>
            </spPr>
          </marker>
          <cat>
            <numRef>
              <f>'Classifica'!$A$33:$A$37</f>
            </numRef>
          </cat>
          <val>
            <numRef>
              <f>'Classifica'!$T$33:$T$37</f>
            </numRef>
          </val>
          <smooth val="0"/>
        </ser>
        <ser>
          <idx val="3"/>
          <order val="3"/>
          <tx>
            <strRef>
              <f>'Classifica'!U32</f>
            </strRef>
          </tx>
          <spPr>
            <a:ln w="22000">
              <a:solidFill>
                <a:srgbClr val="6A56A8"/>
              </a:solidFill>
              <a:prstDash val="solid"/>
            </a:ln>
          </spPr>
          <marker>
            <symbol val="circle"/>
            <size val="6"/>
            <spPr>
              <a:ln>
                <a:prstDash val="solid"/>
              </a:ln>
            </spPr>
          </marker>
          <cat>
            <numRef>
              <f>'Classifica'!$A$33:$A$37</f>
            </numRef>
          </cat>
          <val>
            <numRef>
              <f>'Classifica'!$U$33:$U$37</f>
            </numRef>
          </val>
          <smooth val="0"/>
        </ser>
        <ser>
          <idx val="4"/>
          <order val="4"/>
          <tx>
            <strRef>
              <f>'Classifica'!V32</f>
            </strRef>
          </tx>
          <spPr>
            <a:ln w="22000">
              <a:solidFill>
                <a:srgbClr val="B08A1E"/>
              </a:solidFill>
              <a:prstDash val="solid"/>
            </a:ln>
          </spPr>
          <marker>
            <symbol val="circle"/>
            <size val="6"/>
            <spPr>
              <a:ln>
                <a:prstDash val="solid"/>
              </a:ln>
            </spPr>
          </marker>
          <cat>
            <numRef>
              <f>'Classifica'!$A$33:$A$37</f>
            </numRef>
          </cat>
          <val>
            <numRef>
              <f>'Classifica'!$V$33:$V$37</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39</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37"/>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COUNTIF($B$33:$B$37,"Completata")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COUNTIF($B$33:$B$37,"Completata")+COUNTIF($B$33:$B$37,"In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IF($L$5=0,"-",SUMPRODUCT(MAX(($B$33:$B$37="Completata")*$A$33:$A$37)))</f>
        <v/>
      </c>
    </row>
    <row r="8">
      <c r="K8" s="12" t="inlineStr">
        <is>
          <t>Prossima da giocare</t>
        </is>
      </c>
      <c r="L8" s="13">
        <f>IF(SUMPRODUCT(MIN(($B$33:$B$37&lt;&gt;"Completata")*$A$33:$A$37+($B$33:$B$37="Completata")*999))&gt;=999,"-",SUMPRODUCT(MIN(($B$33:$B$37&lt;&gt;"Completata")*$A$33:$A$37+($B$33:$B$37="Completata")*999)))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SUM(Punti!$D$3:$D$52)</f>
        <v/>
      </c>
      <c r="D12" s="25">
        <f>COUNTIF(Punti!$D$3:$D$52,Config!$D$7)+COUNTIF(Punti!$D$3:$D$52,Config!$D$6)+COUNTIF(Punti!$D$3:$D$52,Config!$D$10)+COUNTIF(Punti!$D$3:$D$52,Config!$D$9)</f>
        <v/>
      </c>
      <c r="E12" s="25">
        <f>COUNTIF(Punti!$D$3:$D$52,Config!$D$6)+COUNTIF(Punti!$D$3:$D$52,Config!$D$9)</f>
        <v/>
      </c>
      <c r="F12" s="25">
        <f>SUMPRODUCT(((Pronostici!$E$3:$E$52&lt;&gt;"")+(Pronostici!$F$3:$F$52&lt;&gt;""))*1&gt;0)</f>
        <v/>
      </c>
      <c r="G12" s="26">
        <f>IF($L$6=0,0,$C12/$L$6)</f>
        <v/>
      </c>
      <c r="H12" s="25">
        <f>SUMPRODUCT(($C$33:$C$37=$H$33:$H$37)*($H$33:$H$37&gt;0)*($B$33:$B$37="Completata"))</f>
        <v/>
      </c>
    </row>
    <row r="13" ht="20" customHeight="1">
      <c r="A13" s="27">
        <f>SUMPRODUCT((($C$12:$C$16*1000+$E$12:$E$16)&gt;($C13*1000+$E13))*1)+1</f>
        <v/>
      </c>
      <c r="B13" s="28">
        <f>Config!$A$7</f>
        <v/>
      </c>
      <c r="C13" s="29">
        <f>SUM(Punti!$E$3:$E$52)</f>
        <v/>
      </c>
      <c r="D13" s="30">
        <f>COUNTIF(Punti!$E$3:$E$52,Config!$D$7)+COUNTIF(Punti!$E$3:$E$52,Config!$D$6)+COUNTIF(Punti!$E$3:$E$52,Config!$D$10)+COUNTIF(Punti!$E$3:$E$52,Config!$D$9)</f>
        <v/>
      </c>
      <c r="E13" s="30">
        <f>COUNTIF(Punti!$E$3:$E$52,Config!$D$6)+COUNTIF(Punti!$E$3:$E$52,Config!$D$9)</f>
        <v/>
      </c>
      <c r="F13" s="30">
        <f>SUMPRODUCT(((Pronostici!$H$3:$H$52&lt;&gt;"")+(Pronostici!$I$3:$I$52&lt;&gt;""))*1&gt;0)</f>
        <v/>
      </c>
      <c r="G13" s="31">
        <f>IF($L$6=0,0,$C13/$L$6)</f>
        <v/>
      </c>
      <c r="H13" s="30">
        <f>SUMPRODUCT(($D$33:$D$37=$H$33:$H$37)*($H$33:$H$37&gt;0)*($B$33:$B$37="Completata"))</f>
        <v/>
      </c>
    </row>
    <row r="14" ht="20" customHeight="1">
      <c r="A14" s="22">
        <f>SUMPRODUCT((($C$12:$C$16*1000+$E$12:$E$16)&gt;($C14*1000+$E14))*1)+1</f>
        <v/>
      </c>
      <c r="B14" s="32">
        <f>Config!$A$8</f>
        <v/>
      </c>
      <c r="C14" s="24">
        <f>SUM(Punti!$F$3:$F$52)</f>
        <v/>
      </c>
      <c r="D14" s="25">
        <f>COUNTIF(Punti!$F$3:$F$52,Config!$D$7)+COUNTIF(Punti!$F$3:$F$52,Config!$D$6)+COUNTIF(Punti!$F$3:$F$52,Config!$D$10)+COUNTIF(Punti!$F$3:$F$52,Config!$D$9)</f>
        <v/>
      </c>
      <c r="E14" s="25">
        <f>COUNTIF(Punti!$F$3:$F$52,Config!$D$6)+COUNTIF(Punti!$F$3:$F$52,Config!$D$9)</f>
        <v/>
      </c>
      <c r="F14" s="25">
        <f>SUMPRODUCT(((Pronostici!$K$3:$K$52&lt;&gt;"")+(Pronostici!$L$3:$L$52&lt;&gt;""))*1&gt;0)</f>
        <v/>
      </c>
      <c r="G14" s="26">
        <f>IF($L$6=0,0,$C14/$L$6)</f>
        <v/>
      </c>
      <c r="H14" s="25">
        <f>SUMPRODUCT(($E$33:$E$37=$H$33:$H$37)*($H$33:$H$37&gt;0)*($B$33:$B$37="Completata"))</f>
        <v/>
      </c>
    </row>
    <row r="15" ht="20" customHeight="1">
      <c r="A15" s="27">
        <f>SUMPRODUCT((($C$12:$C$16*1000+$E$12:$E$16)&gt;($C15*1000+$E15))*1)+1</f>
        <v/>
      </c>
      <c r="B15" s="33">
        <f>Config!$A$9</f>
        <v/>
      </c>
      <c r="C15" s="29">
        <f>SUM(Punti!$G$3:$G$52)</f>
        <v/>
      </c>
      <c r="D15" s="30">
        <f>COUNTIF(Punti!$G$3:$G$52,Config!$D$7)+COUNTIF(Punti!$G$3:$G$52,Config!$D$6)+COUNTIF(Punti!$G$3:$G$52,Config!$D$10)+COUNTIF(Punti!$G$3:$G$52,Config!$D$9)</f>
        <v/>
      </c>
      <c r="E15" s="30">
        <f>COUNTIF(Punti!$G$3:$G$52,Config!$D$6)+COUNTIF(Punti!$G$3:$G$52,Config!$D$9)</f>
        <v/>
      </c>
      <c r="F15" s="30">
        <f>SUMPRODUCT(((Pronostici!$N$3:$N$52&lt;&gt;"")+(Pronostici!$O$3:$O$52&lt;&gt;""))*1&gt;0)</f>
        <v/>
      </c>
      <c r="G15" s="31">
        <f>IF($L$6=0,0,$C15/$L$6)</f>
        <v/>
      </c>
      <c r="H15" s="30">
        <f>SUMPRODUCT(($F$33:$F$37=$H$33:$H$37)*($H$33:$H$37&gt;0)*($B$33:$B$37="Completata"))</f>
        <v/>
      </c>
    </row>
    <row r="16" ht="20" customHeight="1">
      <c r="A16" s="22">
        <f>SUMPRODUCT((($C$12:$C$16*1000+$E$12:$E$16)&gt;($C16*1000+$E16))*1)+1</f>
        <v/>
      </c>
      <c r="B16" s="34">
        <f>Config!$A$10</f>
        <v/>
      </c>
      <c r="C16" s="24">
        <f>SUM(Punti!$H$3:$H$52)</f>
        <v/>
      </c>
      <c r="D16" s="25">
        <f>COUNTIF(Punti!$H$3:$H$52,Config!$D$7)+COUNTIF(Punti!$H$3:$H$52,Config!$D$6)+COUNTIF(Punti!$H$3:$H$52,Config!$D$10)+COUNTIF(Punti!$H$3:$H$52,Config!$D$9)</f>
        <v/>
      </c>
      <c r="E16" s="25">
        <f>COUNTIF(Punti!$H$3:$H$52,Config!$D$6)+COUNTIF(Punti!$H$3:$H$52,Config!$D$9)</f>
        <v/>
      </c>
      <c r="F16" s="25">
        <f>SUMPRODUCT(((Pronostici!$Q$3:$Q$52&lt;&gt;"")+(Pronostici!$R$3:$R$52&lt;&gt;""))*1&gt;0)</f>
        <v/>
      </c>
      <c r="G16" s="26">
        <f>IF($L$6=0,0,$C16/$L$6)</f>
        <v/>
      </c>
      <c r="H16" s="25">
        <f>SUMPRODUCT(($G$33:$G$37=$H$33:$H$37)*($H$33:$H$37&gt;0)*($B$33:$B$37="Completata"))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IF($L$7="-","-",IFERROR(INDEX($C$33:$C$37,MATCH($L$7,$A$33:$A$37,0)),"-"))</f>
        <v/>
      </c>
      <c r="D20" s="40">
        <f>IF($L$7="-","",IF(IFERROR(INDEX($C$33:$C$37,MATCH($L$7,$A$33:$A$37,0)),0)=IFERROR(INDEX($H$33:$H$37,MATCH($L$7,$A$33:$A$37,0)),-1),"RE DELLA GIORNATA",""))</f>
        <v/>
      </c>
      <c r="E20" s="41" t="n"/>
      <c r="K20" s="42">
        <f>IFERROR(INDEX(Partite!$E$3:$E$52,MATCH("G"&amp;TEXT($L$8,"00")&amp;"-"&amp;TEXT(1,"00"),Partite!$A$3:$A$52,0))&amp;"   -   "&amp;INDEX(Partite!$F$3:$F$52,MATCH("G"&amp;TEXT($L$8,"00")&amp;"-"&amp;TEXT(1,"00"),Partite!$A$3:$A$52,0)),"-")</f>
        <v/>
      </c>
      <c r="L20" s="43" t="n"/>
      <c r="M20" s="43" t="n"/>
      <c r="N20" s="44">
        <f>Config!$A$6</f>
        <v/>
      </c>
      <c r="O20" s="45">
        <f>IF($L$8="-","-",SUMPRODUCT((Pronostici!$B$3:$B$52=$L$8)*(((Pronostici!$E$3:$E$52&lt;&gt;"")+(Pronostici!$F$3:$F$52&lt;&gt;""))&gt;0))&amp;"/10")</f>
        <v/>
      </c>
    </row>
    <row r="21">
      <c r="B21" s="28">
        <f>Config!$A$7</f>
        <v/>
      </c>
      <c r="C21" s="24">
        <f>IF($L$7="-","-",IFERROR(INDEX($D$33:$D$37,MATCH($L$7,$A$33:$A$37,0)),"-"))</f>
        <v/>
      </c>
      <c r="D21" s="40">
        <f>IF($L$7="-","",IF(IFERROR(INDEX($D$33:$D$37,MATCH($L$7,$A$33:$A$37,0)),0)=IFERROR(INDEX($H$33:$H$37,MATCH($L$7,$A$33:$A$37,0)),-1),"RE DELLA GIORNATA",""))</f>
        <v/>
      </c>
      <c r="E21" s="41" t="n"/>
      <c r="K21" s="46">
        <f>IFERROR(INDEX(Partite!$E$3:$E$52,MATCH("G"&amp;TEXT($L$8,"00")&amp;"-"&amp;TEXT(2,"00"),Partite!$A$3:$A$52,0))&amp;"   -   "&amp;INDEX(Partite!$F$3:$F$52,MATCH("G"&amp;TEXT($L$8,"00")&amp;"-"&amp;TEXT(2,"00"),Partite!$A$3:$A$52,0)),"-")</f>
        <v/>
      </c>
      <c r="L21" s="47" t="n"/>
      <c r="M21" s="47" t="n"/>
      <c r="N21" s="48">
        <f>Config!$A$7</f>
        <v/>
      </c>
      <c r="O21" s="45">
        <f>IF($L$8="-","-",SUMPRODUCT((Pronostici!$B$3:$B$52=$L$8)*(((Pronostici!$H$3:$H$52&lt;&gt;"")+(Pronostici!$I$3:$I$52&lt;&gt;""))&gt;0))&amp;"/10")</f>
        <v/>
      </c>
    </row>
    <row r="22">
      <c r="B22" s="32">
        <f>Config!$A$8</f>
        <v/>
      </c>
      <c r="C22" s="24">
        <f>IF($L$7="-","-",IFERROR(INDEX($E$33:$E$37,MATCH($L$7,$A$33:$A$37,0)),"-"))</f>
        <v/>
      </c>
      <c r="D22" s="40">
        <f>IF($L$7="-","",IF(IFERROR(INDEX($E$33:$E$37,MATCH($L$7,$A$33:$A$37,0)),0)=IFERROR(INDEX($H$33:$H$37,MATCH($L$7,$A$33:$A$37,0)),-1),"RE DELLA GIORNATA",""))</f>
        <v/>
      </c>
      <c r="E22" s="41" t="n"/>
      <c r="K22" s="42">
        <f>IFERROR(INDEX(Partite!$E$3:$E$52,MATCH("G"&amp;TEXT($L$8,"00")&amp;"-"&amp;TEXT(3,"00"),Partite!$A$3:$A$52,0))&amp;"   -   "&amp;INDEX(Partite!$F$3:$F$52,MATCH("G"&amp;TEXT($L$8,"00")&amp;"-"&amp;TEXT(3,"00"),Partite!$A$3:$A$52,0)),"-")</f>
        <v/>
      </c>
      <c r="L22" s="43" t="n"/>
      <c r="M22" s="43" t="n"/>
      <c r="N22" s="49">
        <f>Config!$A$8</f>
        <v/>
      </c>
      <c r="O22" s="45">
        <f>IF($L$8="-","-",SUMPRODUCT((Pronostici!$B$3:$B$52=$L$8)*(((Pronostici!$K$3:$K$52&lt;&gt;"")+(Pronostici!$L$3:$L$52&lt;&gt;""))&gt;0))&amp;"/10")</f>
        <v/>
      </c>
    </row>
    <row r="23">
      <c r="B23" s="33">
        <f>Config!$A$9</f>
        <v/>
      </c>
      <c r="C23" s="24">
        <f>IF($L$7="-","-",IFERROR(INDEX($F$33:$F$37,MATCH($L$7,$A$33:$A$37,0)),"-"))</f>
        <v/>
      </c>
      <c r="D23" s="40">
        <f>IF($L$7="-","",IF(IFERROR(INDEX($F$33:$F$37,MATCH($L$7,$A$33:$A$37,0)),0)=IFERROR(INDEX($H$33:$H$37,MATCH($L$7,$A$33:$A$37,0)),-1),"RE DELLA GIORNATA",""))</f>
        <v/>
      </c>
      <c r="E23" s="41" t="n"/>
      <c r="K23" s="46">
        <f>IFERROR(INDEX(Partite!$E$3:$E$52,MATCH("G"&amp;TEXT($L$8,"00")&amp;"-"&amp;TEXT(4,"00"),Partite!$A$3:$A$52,0))&amp;"   -   "&amp;INDEX(Partite!$F$3:$F$52,MATCH("G"&amp;TEXT($L$8,"00")&amp;"-"&amp;TEXT(4,"00"),Partite!$A$3:$A$52,0)),"-")</f>
        <v/>
      </c>
      <c r="L23" s="47" t="n"/>
      <c r="M23" s="47" t="n"/>
      <c r="N23" s="50">
        <f>Config!$A$9</f>
        <v/>
      </c>
      <c r="O23" s="45">
        <f>IF($L$8="-","-",SUMPRODUCT((Pronostici!$B$3:$B$52=$L$8)*(((Pronostici!$N$3:$N$52&lt;&gt;"")+(Pronostici!$O$3:$O$52&lt;&gt;""))&gt;0))&amp;"/10")</f>
        <v/>
      </c>
    </row>
    <row r="24">
      <c r="B24" s="34">
        <f>Config!$A$10</f>
        <v/>
      </c>
      <c r="C24" s="24">
        <f>IF($L$7="-","-",IFERROR(INDEX($G$33:$G$37,MATCH($L$7,$A$33:$A$37,0)),"-"))</f>
        <v/>
      </c>
      <c r="D24" s="40">
        <f>IF($L$7="-","",IF(IFERROR(INDEX($G$33:$G$37,MATCH($L$7,$A$33:$A$37,0)),0)=IFERROR(INDEX($H$33:$H$37,MATCH($L$7,$A$33:$A$37,0)),-1),"RE DELLA GIORNATA",""))</f>
        <v/>
      </c>
      <c r="E24" s="41" t="n"/>
      <c r="K24" s="42">
        <f>IFERROR(INDEX(Partite!$E$3:$E$52,MATCH("G"&amp;TEXT($L$8,"00")&amp;"-"&amp;TEXT(5,"00"),Partite!$A$3:$A$52,0))&amp;"   -   "&amp;INDEX(Partite!$F$3:$F$52,MATCH("G"&amp;TEXT($L$8,"00")&amp;"-"&amp;TEXT(5,"00"),Partite!$A$3:$A$52,0)),"-")</f>
        <v/>
      </c>
      <c r="L24" s="43" t="n"/>
      <c r="M24" s="43" t="n"/>
      <c r="N24" s="51">
        <f>Config!$A$10</f>
        <v/>
      </c>
      <c r="O24" s="45">
        <f>IF($L$8="-","-",SUMPRODUCT((Pronostici!$B$3:$B$52=$L$8)*(((Pronostici!$Q$3:$Q$52&lt;&gt;"")+(Pronostici!$R$3:$R$52&lt;&gt;""))&gt;0))&amp;"/10")</f>
        <v/>
      </c>
    </row>
    <row r="25">
      <c r="K25" s="46">
        <f>IFERROR(INDEX(Partite!$E$3:$E$52,MATCH("G"&amp;TEXT($L$8,"00")&amp;"-"&amp;TEXT(6,"00"),Partite!$A$3:$A$52,0))&amp;"   -   "&amp;INDEX(Partite!$F$3:$F$52,MATCH("G"&amp;TEXT($L$8,"00")&amp;"-"&amp;TEXT(6,"00"),Partite!$A$3:$A$52,0)),"-")</f>
        <v/>
      </c>
      <c r="L25" s="47" t="n"/>
      <c r="M25" s="47" t="n"/>
      <c r="N25" s="35" t="inlineStr">
        <is>
          <t>chi e' sotto 10 non ha finito</t>
        </is>
      </c>
    </row>
    <row r="26">
      <c r="K26" s="42">
        <f>IFERROR(INDEX(Partite!$E$3:$E$52,MATCH("G"&amp;TEXT($L$8,"00")&amp;"-"&amp;TEXT(7,"00"),Partite!$A$3:$A$52,0))&amp;"   -   "&amp;INDEX(Partite!$F$3:$F$52,MATCH("G"&amp;TEXT($L$8,"00")&amp;"-"&amp;TEXT(7,"00"),Partite!$A$3:$A$52,0)),"-")</f>
        <v/>
      </c>
      <c r="L26" s="43" t="n"/>
      <c r="M26" s="43" t="n"/>
    </row>
    <row r="27">
      <c r="K27" s="46">
        <f>IFERROR(INDEX(Partite!$E$3:$E$52,MATCH("G"&amp;TEXT($L$8,"00")&amp;"-"&amp;TEXT(8,"00"),Partite!$A$3:$A$52,0))&amp;"   -   "&amp;INDEX(Partite!$F$3:$F$52,MATCH("G"&amp;TEXT($L$8,"00")&amp;"-"&amp;TEXT(8,"00"),Partite!$A$3:$A$52,0)),"-")</f>
        <v/>
      </c>
      <c r="L27" s="47" t="n"/>
      <c r="M27" s="47" t="n"/>
    </row>
    <row r="28">
      <c r="K28" s="42">
        <f>IFERROR(INDEX(Partite!$E$3:$E$52,MATCH("G"&amp;TEXT($L$8,"00")&amp;"-"&amp;TEXT(9,"00"),Partite!$A$3:$A$52,0))&amp;"   -   "&amp;INDEX(Partite!$F$3:$F$52,MATCH("G"&amp;TEXT($L$8,"00")&amp;"-"&amp;TEXT(9,"00"),Partite!$A$3:$A$52,0)),"-")</f>
        <v/>
      </c>
      <c r="L28" s="43" t="n"/>
      <c r="M28" s="43" t="n"/>
    </row>
    <row r="29">
      <c r="K29" s="46">
        <f>IFERROR(INDEX(Partite!$E$3:$E$52,MATCH("G"&amp;TEXT($L$8,"00")&amp;"-"&amp;TEXT(10,"00"),Partite!$A$3:$A$52,0))&amp;"   -   "&amp;INDEX(Partite!$F$3:$F$52,MATCH("G"&amp;TEXT($L$8,"00")&amp;"-"&amp;TEXT(10,"00"),Partite!$A$3:$A$52,0)),"-")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IF(COUNTIFS(Partite!$B$3:$B$52,$A33,Partite!$E$3:$E$52,"&lt;&gt;")=0,"Calendario mancante",IF(COUNTIFS(Partite!$B$3:$B$52,$A33,Partite!$K$3:$K$52,"Giocata")=0,"Non giocata",IF(COUNTIFS(Partite!$B$3:$B$52,$A33,Partite!$K$3:$K$52,"Giocata")=COUNTIFS(Partite!$B$3:$B$52,$A33,Partite!$E$3:$E$52,"&lt;&gt;"),"Completata","In corso")))</f>
        <v/>
      </c>
      <c r="C33" s="25">
        <f>SUMIF(Punti!$B$3:$B$52,$A33,Punti!$D$3:$D$52)</f>
        <v/>
      </c>
      <c r="D33" s="25">
        <f>SUMIF(Punti!$B$3:$B$52,$A33,Punti!$E$3:$E$52)</f>
        <v/>
      </c>
      <c r="E33" s="25">
        <f>SUMIF(Punti!$B$3:$B$52,$A33,Punti!$F$3:$F$52)</f>
        <v/>
      </c>
      <c r="F33" s="25">
        <f>SUMIF(Punti!$B$3:$B$52,$A33,Punti!$G$3:$G$52)</f>
        <v/>
      </c>
      <c r="G33" s="25">
        <f>SUMIF(Punti!$B$3:$B$52,$A33,Punti!$H$3:$H$52)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IF(COUNTIFS(Partite!$B$3:$B$52,$A34,Partite!$E$3:$E$52,"&lt;&gt;")=0,"Calendario mancante",IF(COUNTIFS(Partite!$B$3:$B$52,$A34,Partite!$K$3:$K$52,"Giocata")=0,"Non giocata",IF(COUNTIFS(Partite!$B$3:$B$52,$A34,Partite!$K$3:$K$52,"Giocata")=COUNTIFS(Partite!$B$3:$B$52,$A34,Partite!$E$3:$E$52,"&lt;&gt;"),"Completata","In corso")))</f>
        <v/>
      </c>
      <c r="C34" s="30">
        <f>SUMIF(Punti!$B$3:$B$52,$A34,Punti!$D$3:$D$52)</f>
        <v/>
      </c>
      <c r="D34" s="30">
        <f>SUMIF(Punti!$B$3:$B$52,$A34,Punti!$E$3:$E$52)</f>
        <v/>
      </c>
      <c r="E34" s="30">
        <f>SUMIF(Punti!$B$3:$B$52,$A34,Punti!$F$3:$F$52)</f>
        <v/>
      </c>
      <c r="F34" s="30">
        <f>SUMIF(Punti!$B$3:$B$52,$A34,Punti!$G$3:$G$52)</f>
        <v/>
      </c>
      <c r="G34" s="30">
        <f>SUMIF(Punti!$B$3:$B$52,$A34,Punti!$H$3:$H$52)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IF(COUNTIFS(Partite!$B$3:$B$52,$A35,Partite!$E$3:$E$52,"&lt;&gt;")=0,"Calendario mancante",IF(COUNTIFS(Partite!$B$3:$B$52,$A35,Partite!$K$3:$K$52,"Giocata")=0,"Non giocata",IF(COUNTIFS(Partite!$B$3:$B$52,$A35,Partite!$K$3:$K$52,"Giocata")=COUNTIFS(Partite!$B$3:$B$52,$A35,Partite!$E$3:$E$52,"&lt;&gt;"),"Completata","In corso")))</f>
        <v/>
      </c>
      <c r="C35" s="25">
        <f>SUMIF(Punti!$B$3:$B$52,$A35,Punti!$D$3:$D$52)</f>
        <v/>
      </c>
      <c r="D35" s="25">
        <f>SUMIF(Punti!$B$3:$B$52,$A35,Punti!$E$3:$E$52)</f>
        <v/>
      </c>
      <c r="E35" s="25">
        <f>SUMIF(Punti!$B$3:$B$52,$A35,Punti!$F$3:$F$52)</f>
        <v/>
      </c>
      <c r="F35" s="25">
        <f>SUMIF(Punti!$B$3:$B$52,$A35,Punti!$G$3:$G$52)</f>
        <v/>
      </c>
      <c r="G35" s="25">
        <f>SUMIF(Punti!$B$3:$B$52,$A35,Punti!$H$3:$H$52)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IF(COUNTIFS(Partite!$B$3:$B$52,$A36,Partite!$E$3:$E$52,"&lt;&gt;")=0,"Calendario mancante",IF(COUNTIFS(Partite!$B$3:$B$52,$A36,Partite!$K$3:$K$52,"Giocata")=0,"Non giocata",IF(COUNTIFS(Partite!$B$3:$B$52,$A36,Partite!$K$3:$K$52,"Giocata")=COUNTIFS(Partite!$B$3:$B$52,$A36,Partite!$E$3:$E$52,"&lt;&gt;"),"Completata","In corso")))</f>
        <v/>
      </c>
      <c r="C36" s="30">
        <f>SUMIF(Punti!$B$3:$B$52,$A36,Punti!$D$3:$D$52)</f>
        <v/>
      </c>
      <c r="D36" s="30">
        <f>SUMIF(Punti!$B$3:$B$52,$A36,Punti!$E$3:$E$52)</f>
        <v/>
      </c>
      <c r="E36" s="30">
        <f>SUMIF(Punti!$B$3:$B$52,$A36,Punti!$F$3:$F$52)</f>
        <v/>
      </c>
      <c r="F36" s="30">
        <f>SUMIF(Punti!$B$3:$B$52,$A36,Punti!$G$3:$G$52)</f>
        <v/>
      </c>
      <c r="G36" s="30">
        <f>SUMIF(Punti!$B$3:$B$52,$A36,Punti!$H$3:$H$52)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IF(COUNTIFS(Partite!$B$3:$B$52,$A37,Partite!$E$3:$E$52,"&lt;&gt;")=0,"Calendario mancante",IF(COUNTIFS(Partite!$B$3:$B$52,$A37,Partite!$K$3:$K$52,"Giocata")=0,"Non giocata",IF(COUNTIFS(Partite!$B$3:$B$52,$A37,Partite!$K$3:$K$52,"Giocata")=COUNTIFS(Partite!$B$3:$B$52,$A37,Partite!$E$3:$E$52,"&lt;&gt;"),"Completata","In corso")))</f>
        <v/>
      </c>
      <c r="C37" s="25">
        <f>SUMIF(Punti!$B$3:$B$52,$A37,Punti!$D$3:$D$52)</f>
        <v/>
      </c>
      <c r="D37" s="25">
        <f>SUMIF(Punti!$B$3:$B$52,$A37,Punti!$E$3:$E$52)</f>
        <v/>
      </c>
      <c r="E37" s="25">
        <f>SUMIF(Punti!$B$3:$B$52,$A37,Punti!$F$3:$F$52)</f>
        <v/>
      </c>
      <c r="F37" s="25">
        <f>SUMIF(Punti!$B$3:$B$52,$A37,Punti!$G$3:$G$52)</f>
        <v/>
      </c>
      <c r="G37" s="25">
        <f>SUMIF(Punti!$B$3:$B$52,$A37,Punti!$H$3:$H$52)</f>
        <v/>
      </c>
      <c r="H37" s="61">
        <f>MAX($C37:$G37)</f>
        <v/>
      </c>
      <c r="I37" s="62">
        <f>IF($H37&lt;=0,"-",INDEX($C$32:$G$32,MATCH($H37,$C37:$G37,0))&amp;IF(COUNTIF($C37:$G37,$H37)&gt;1," (a pari)","")&amp;IF($B37="Completata",""," - in corso"))</f>
        <v/>
      </c>
      <c r="R37" s="63">
        <f>R36+C37</f>
        <v/>
      </c>
      <c r="S37" s="63">
        <f>S36+D37</f>
        <v/>
      </c>
      <c r="T37" s="63">
        <f>T36+E37</f>
        <v/>
      </c>
      <c r="U37" s="63">
        <f>U36+F37</f>
        <v/>
      </c>
      <c r="V37" s="63">
        <f>V36+G37</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37">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5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v>5</v>
      </c>
      <c r="H32" s="71" t="n">
        <v>3</v>
      </c>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v>2</v>
      </c>
      <c r="H33" s="71" t="n">
        <v>1</v>
      </c>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v>1</v>
      </c>
      <c r="H34" s="71" t="n">
        <v>1</v>
      </c>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v>0</v>
      </c>
      <c r="H35" s="71" t="n">
        <v>1</v>
      </c>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v>2</v>
      </c>
      <c r="H36" s="71" t="n">
        <v>2</v>
      </c>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c r="H37" s="71" t="n"/>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c r="H38" s="71" t="n"/>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c r="H39" s="71" t="n"/>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c r="H40" s="71" t="n"/>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c r="H41" s="71" t="n"/>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c r="H42" s="71" t="n"/>
      <c r="I42" s="76">
        <f>IF(OR($G42="",$H42=""),"",IF($G42&gt;$H42,"1",IF($G42=$H42,"X","2")))</f>
        <v/>
      </c>
      <c r="J42" s="30">
        <f>IF(OR($G42="",$H42=""),"",$G42&amp;"-"&amp;$H42)</f>
        <v/>
      </c>
      <c r="K42" s="77">
        <f>IF($E42="","Calendario da inserire",IF(OR($G42="",$H42=""),"Da giocare","Giocata"))</f>
        <v/>
      </c>
    </row>
    <row r="43">
      <c r="A43" s="69" t="inlineStr">
        <is>
          <t>G06-01</t>
        </is>
      </c>
      <c r="B43" s="25" t="n">
        <v>6</v>
      </c>
      <c r="C43" s="25" t="inlineStr">
        <is>
          <t>12/10/2026</t>
        </is>
      </c>
      <c r="D43" s="25" t="inlineStr">
        <is>
          <t>18:30</t>
        </is>
      </c>
      <c r="E43" s="70" t="inlineStr">
        <is>
          <t>Atalanta</t>
        </is>
      </c>
      <c r="F43" s="70" t="inlineStr">
        <is>
          <t>Venezia</t>
        </is>
      </c>
      <c r="G43" s="71" t="n"/>
      <c r="H43" s="71" t="n"/>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20:45</t>
        </is>
      </c>
      <c r="E44" s="70" t="inlineStr">
        <is>
          <t>Cagliari</t>
        </is>
      </c>
      <c r="F44" s="70" t="inlineStr">
        <is>
          <t>Juventus</t>
        </is>
      </c>
      <c r="G44" s="71" t="n"/>
      <c r="H44" s="71" t="n"/>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12:30</t>
        </is>
      </c>
      <c r="E45" s="70" t="inlineStr">
        <is>
          <t>Como</t>
        </is>
      </c>
      <c r="F45" s="70" t="inlineStr">
        <is>
          <t>Roma</t>
        </is>
      </c>
      <c r="G45" s="71" t="n"/>
      <c r="H45" s="71" t="n"/>
      <c r="I45" s="72">
        <f>IF(OR($G45="",$H45=""),"",IF($G45&gt;$H45,"1",IF($G45=$H45,"X","2")))</f>
        <v/>
      </c>
      <c r="J45" s="25">
        <f>IF(OR($G45="",$H45=""),"",$G45&amp;"-"&amp;$H45)</f>
        <v/>
      </c>
      <c r="K45" s="73">
        <f>IF($E45="","Calendario da inserire",IF(OR($G45="",$H45=""),"Da giocare","Giocata"))</f>
        <v/>
      </c>
    </row>
    <row r="46">
      <c r="A46" s="69" t="inlineStr">
        <is>
          <t>G06-04</t>
        </is>
      </c>
      <c r="B46" s="25" t="n">
        <v>6</v>
      </c>
      <c r="C46" s="25" t="inlineStr">
        <is>
          <t>10/10/2026</t>
        </is>
      </c>
      <c r="D46" s="25" t="inlineStr">
        <is>
          <t>15:00</t>
        </is>
      </c>
      <c r="E46" s="70" t="inlineStr">
        <is>
          <t>Genoa</t>
        </is>
      </c>
      <c r="F46" s="70" t="inlineStr">
        <is>
          <t>Fiorentina</t>
        </is>
      </c>
      <c r="G46" s="71" t="n"/>
      <c r="H46" s="71" t="n"/>
      <c r="I46" s="72">
        <f>IF(OR($G46="",$H46=""),"",IF($G46&gt;$H46,"1",IF($G46=$H46,"X","2")))</f>
        <v/>
      </c>
      <c r="J46" s="25">
        <f>IF(OR($G46="",$H46=""),"",$G46&amp;"-"&amp;$H46)</f>
        <v/>
      </c>
      <c r="K46" s="73">
        <f>IF($E46="","Calendario da inserire",IF(OR($G46="",$H46=""),"Da giocare","Giocata"))</f>
        <v/>
      </c>
    </row>
    <row r="47">
      <c r="A47" s="69" t="inlineStr">
        <is>
          <t>G06-05</t>
        </is>
      </c>
      <c r="B47" s="25" t="n">
        <v>6</v>
      </c>
      <c r="C47" s="25" t="inlineStr">
        <is>
          <t>10/10/2026</t>
        </is>
      </c>
      <c r="D47" s="25" t="inlineStr">
        <is>
          <t>18:00</t>
        </is>
      </c>
      <c r="E47" s="70" t="inlineStr">
        <is>
          <t>Inter</t>
        </is>
      </c>
      <c r="F47" s="70" t="inlineStr">
        <is>
          <t>Parma</t>
        </is>
      </c>
      <c r="G47" s="71" t="n"/>
      <c r="H47" s="71" t="n"/>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15:00</t>
        </is>
      </c>
      <c r="E48" s="70" t="inlineStr">
        <is>
          <t>Lazio</t>
        </is>
      </c>
      <c r="F48" s="70" t="inlineStr">
        <is>
          <t>Monza</t>
        </is>
      </c>
      <c r="G48" s="71" t="n"/>
      <c r="H48" s="71" t="n"/>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15:00</t>
        </is>
      </c>
      <c r="E49" s="70" t="inlineStr">
        <is>
          <t>Lecce</t>
        </is>
      </c>
      <c r="F49" s="70" t="inlineStr">
        <is>
          <t>Bologna</t>
        </is>
      </c>
      <c r="G49" s="71" t="n"/>
      <c r="H49" s="71" t="n"/>
      <c r="I49" s="72">
        <f>IF(OR($G49="",$H49=""),"",IF($G49&gt;$H49,"1",IF($G49=$H49,"X","2")))</f>
        <v/>
      </c>
      <c r="J49" s="25">
        <f>IF(OR($G49="",$H49=""),"",$G49&amp;"-"&amp;$H49)</f>
        <v/>
      </c>
      <c r="K49" s="73">
        <f>IF($E49="","Calendario da inserire",IF(OR($G49="",$H49=""),"Da giocare","Giocata"))</f>
        <v/>
      </c>
    </row>
    <row r="50">
      <c r="A50" s="69" t="inlineStr">
        <is>
          <t>G06-08</t>
        </is>
      </c>
      <c r="B50" s="25" t="n">
        <v>6</v>
      </c>
      <c r="C50" s="25" t="inlineStr">
        <is>
          <t>10/10/2026</t>
        </is>
      </c>
      <c r="D50" s="25" t="inlineStr">
        <is>
          <t>20:45</t>
        </is>
      </c>
      <c r="E50" s="70" t="inlineStr">
        <is>
          <t>Napoli</t>
        </is>
      </c>
      <c r="F50" s="70" t="inlineStr">
        <is>
          <t>Frosinone</t>
        </is>
      </c>
      <c r="G50" s="71" t="n"/>
      <c r="H50" s="71" t="n"/>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18:00</t>
        </is>
      </c>
      <c r="E51" s="70" t="inlineStr">
        <is>
          <t>Sassuolo</t>
        </is>
      </c>
      <c r="F51" s="70" t="inlineStr">
        <is>
          <t>Milan</t>
        </is>
      </c>
      <c r="G51" s="71" t="n"/>
      <c r="H51" s="71" t="n"/>
      <c r="I51" s="72">
        <f>IF(OR($G51="",$H51=""),"",IF($G51&gt;$H51,"1",IF($G51=$H51,"X","2")))</f>
        <v/>
      </c>
      <c r="J51" s="25">
        <f>IF(OR($G51="",$H51=""),"",$G51&amp;"-"&amp;$H51)</f>
        <v/>
      </c>
      <c r="K51" s="73">
        <f>IF($E51="","Calendario da inserire",IF(OR($G51="",$H51=""),"Da giocare","Giocata"))</f>
        <v/>
      </c>
    </row>
    <row r="52">
      <c r="A52" s="69" t="inlineStr">
        <is>
          <t>G06-10</t>
        </is>
      </c>
      <c r="B52" s="25" t="n">
        <v>6</v>
      </c>
      <c r="C52" s="25" t="inlineStr">
        <is>
          <t>12/10/2026</t>
        </is>
      </c>
      <c r="D52" s="25" t="inlineStr">
        <is>
          <t>20:45</t>
        </is>
      </c>
      <c r="E52" s="70" t="inlineStr">
        <is>
          <t>Torino</t>
        </is>
      </c>
      <c r="F52" s="70" t="inlineStr">
        <is>
          <t>Udinese</t>
        </is>
      </c>
      <c r="G52" s="71" t="n"/>
      <c r="H52" s="71" t="n"/>
      <c r="I52" s="72">
        <f>IF(OR($G52="",$H52=""),"",IF($G52&gt;$H52,"1",IF($G52=$H52,"X","2")))</f>
        <v/>
      </c>
      <c r="J52" s="25">
        <f>IF(OR($G52="",$H52=""),"",$G52&amp;"-"&amp;$H52)</f>
        <v/>
      </c>
      <c r="K52" s="73">
        <f>IF($E52="","Calendario da inserire",IF(OR($G52="",$H52=""),"Da giocare","Giocata"))</f>
        <v/>
      </c>
    </row>
  </sheetData>
  <autoFilter ref="A2:K52"/>
  <mergeCells count="3">
    <mergeCell ref="G1:H1"/>
    <mergeCell ref="A1:F1"/>
    <mergeCell ref="I1:K1"/>
  </mergeCells>
  <conditionalFormatting sqref="K3:K5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5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inlineStr">
        <is>
          <t>2</t>
        </is>
      </c>
      <c r="F33" s="71" t="n">
        <v>1</v>
      </c>
      <c r="G33" s="71" t="n">
        <v>3</v>
      </c>
      <c r="H33" s="71" t="inlineStr">
        <is>
          <t>2</t>
        </is>
      </c>
      <c r="I33" s="71" t="n">
        <v>1</v>
      </c>
      <c r="J33" s="71" t="n">
        <v>3</v>
      </c>
      <c r="K33" s="71" t="inlineStr">
        <is>
          <t>1</t>
        </is>
      </c>
      <c r="L33" s="71" t="n">
        <v>2</v>
      </c>
      <c r="M33" s="71" t="n">
        <v>1</v>
      </c>
      <c r="N33" s="71" t="inlineStr">
        <is>
          <t>2</t>
        </is>
      </c>
      <c r="O33" s="71" t="n">
        <v>1</v>
      </c>
      <c r="P33" s="71" t="n">
        <v>3</v>
      </c>
      <c r="Q33" s="71" t="inlineStr">
        <is>
          <t>X</t>
        </is>
      </c>
      <c r="R33" s="71" t="n">
        <v>2</v>
      </c>
      <c r="S33" s="71" t="n">
        <v>2</v>
      </c>
    </row>
    <row r="34">
      <c r="A34" s="74">
        <f>Partite!$A34</f>
        <v/>
      </c>
      <c r="B34" s="30">
        <f>Partite!$B34</f>
        <v/>
      </c>
      <c r="C34" s="75">
        <f>IF(Partite!$E34="","",Partite!$E34)</f>
        <v/>
      </c>
      <c r="D34" s="75">
        <f>IF(Partite!$F34="","",Partite!$F34)</f>
        <v/>
      </c>
      <c r="E34" s="71" t="inlineStr">
        <is>
          <t>1</t>
        </is>
      </c>
      <c r="F34" s="71" t="n">
        <v>2</v>
      </c>
      <c r="G34" s="71" t="n">
        <v>1</v>
      </c>
      <c r="H34" s="71" t="inlineStr">
        <is>
          <t>X</t>
        </is>
      </c>
      <c r="I34" s="71" t="n">
        <v>1</v>
      </c>
      <c r="J34" s="71" t="n">
        <v>1</v>
      </c>
      <c r="K34" s="71" t="inlineStr">
        <is>
          <t>X</t>
        </is>
      </c>
      <c r="L34" s="71" t="n">
        <v>1</v>
      </c>
      <c r="M34" s="71" t="n">
        <v>1</v>
      </c>
      <c r="N34" s="71" t="inlineStr">
        <is>
          <t>1</t>
        </is>
      </c>
      <c r="O34" s="71" t="n">
        <v>2</v>
      </c>
      <c r="P34" s="71" t="n">
        <v>1</v>
      </c>
      <c r="Q34" s="71" t="inlineStr">
        <is>
          <t>1</t>
        </is>
      </c>
      <c r="R34" s="71" t="n">
        <v>2</v>
      </c>
      <c r="S34" s="71" t="n">
        <v>0</v>
      </c>
    </row>
    <row r="35">
      <c r="A35" s="74">
        <f>Partite!$A35</f>
        <v/>
      </c>
      <c r="B35" s="30">
        <f>Partite!$B35</f>
        <v/>
      </c>
      <c r="C35" s="75">
        <f>IF(Partite!$E35="","",Partite!$E35)</f>
        <v/>
      </c>
      <c r="D35" s="75">
        <f>IF(Partite!$F35="","",Partite!$F35)</f>
        <v/>
      </c>
      <c r="E35" s="71" t="inlineStr">
        <is>
          <t>1</t>
        </is>
      </c>
      <c r="F35" s="71" t="n">
        <v>1</v>
      </c>
      <c r="G35" s="71" t="n">
        <v>0</v>
      </c>
      <c r="H35" s="71" t="inlineStr">
        <is>
          <t>1</t>
        </is>
      </c>
      <c r="I35" s="71" t="n">
        <v>2</v>
      </c>
      <c r="J35" s="71" t="n">
        <v>1</v>
      </c>
      <c r="K35" s="71" t="inlineStr">
        <is>
          <t>1</t>
        </is>
      </c>
      <c r="L35" s="71" t="n">
        <v>1</v>
      </c>
      <c r="M35" s="71" t="n">
        <v>0</v>
      </c>
      <c r="N35" s="71" t="inlineStr">
        <is>
          <t>1</t>
        </is>
      </c>
      <c r="O35" s="71" t="n">
        <v>2</v>
      </c>
      <c r="P35" s="71" t="n">
        <v>0</v>
      </c>
      <c r="Q35" s="71" t="inlineStr">
        <is>
          <t>1</t>
        </is>
      </c>
      <c r="R35" s="71" t="n">
        <v>1</v>
      </c>
      <c r="S35" s="71" t="n">
        <v>0</v>
      </c>
    </row>
    <row r="36">
      <c r="A36" s="74">
        <f>Partite!$A36</f>
        <v/>
      </c>
      <c r="B36" s="30">
        <f>Partite!$B36</f>
        <v/>
      </c>
      <c r="C36" s="75">
        <f>IF(Partite!$E36="","",Partite!$E36)</f>
        <v/>
      </c>
      <c r="D36" s="75">
        <f>IF(Partite!$F36="","",Partite!$F36)</f>
        <v/>
      </c>
      <c r="E36" s="71" t="inlineStr">
        <is>
          <t>2</t>
        </is>
      </c>
      <c r="F36" s="71" t="n">
        <v>2</v>
      </c>
      <c r="G36" s="71" t="n">
        <v>4</v>
      </c>
      <c r="H36" s="71" t="inlineStr">
        <is>
          <t>1</t>
        </is>
      </c>
      <c r="I36" s="71" t="n">
        <v>2</v>
      </c>
      <c r="J36" s="71" t="n">
        <v>1</v>
      </c>
      <c r="K36" s="71" t="inlineStr">
        <is>
          <t>2</t>
        </is>
      </c>
      <c r="L36" s="71" t="n">
        <v>1</v>
      </c>
      <c r="M36" s="71" t="n">
        <v>3</v>
      </c>
      <c r="N36" s="71" t="inlineStr">
        <is>
          <t>X</t>
        </is>
      </c>
      <c r="O36" s="71" t="n">
        <v>2</v>
      </c>
      <c r="P36" s="71" t="n">
        <v>2</v>
      </c>
      <c r="Q36" s="71" t="inlineStr">
        <is>
          <t>2</t>
        </is>
      </c>
      <c r="R36" s="71" t="n">
        <v>0</v>
      </c>
      <c r="S36" s="71" t="n">
        <v>1</v>
      </c>
    </row>
    <row r="37">
      <c r="A37" s="74">
        <f>Partite!$A37</f>
        <v/>
      </c>
      <c r="B37" s="30">
        <f>Partite!$B37</f>
        <v/>
      </c>
      <c r="C37" s="75">
        <f>IF(Partite!$E37="","",Partite!$E37)</f>
        <v/>
      </c>
      <c r="D37" s="75">
        <f>IF(Partite!$F37="","",Partite!$F37)</f>
        <v/>
      </c>
      <c r="E37" s="71" t="inlineStr">
        <is>
          <t>2</t>
        </is>
      </c>
      <c r="F37" s="71" t="n">
        <v>1</v>
      </c>
      <c r="G37" s="71" t="n">
        <v>2</v>
      </c>
      <c r="H37" s="71" t="inlineStr">
        <is>
          <t>2</t>
        </is>
      </c>
      <c r="I37" s="71" t="n">
        <v>1</v>
      </c>
      <c r="J37" s="71" t="n">
        <v>3</v>
      </c>
      <c r="K37" s="71" t="inlineStr">
        <is>
          <t>X</t>
        </is>
      </c>
      <c r="L37" s="71" t="n">
        <v>0</v>
      </c>
      <c r="M37" s="71" t="n">
        <v>0</v>
      </c>
      <c r="N37" s="71" t="inlineStr">
        <is>
          <t>2</t>
        </is>
      </c>
      <c r="O37" s="71" t="n">
        <v>0</v>
      </c>
      <c r="P37" s="71" t="n">
        <v>2</v>
      </c>
      <c r="Q37" s="71" t="inlineStr">
        <is>
          <t>2</t>
        </is>
      </c>
      <c r="R37" s="71" t="n">
        <v>1</v>
      </c>
      <c r="S37" s="71" t="n">
        <v>2</v>
      </c>
    </row>
    <row r="38">
      <c r="A38" s="74">
        <f>Partite!$A38</f>
        <v/>
      </c>
      <c r="B38" s="30">
        <f>Partite!$B38</f>
        <v/>
      </c>
      <c r="C38" s="75">
        <f>IF(Partite!$E38="","",Partite!$E38)</f>
        <v/>
      </c>
      <c r="D38" s="75">
        <f>IF(Partite!$F38="","",Partite!$F38)</f>
        <v/>
      </c>
      <c r="E38" s="71" t="inlineStr">
        <is>
          <t>2</t>
        </is>
      </c>
      <c r="F38" s="71" t="n">
        <v>0</v>
      </c>
      <c r="G38" s="71" t="n">
        <v>1</v>
      </c>
      <c r="H38" s="71" t="inlineStr">
        <is>
          <t>X</t>
        </is>
      </c>
      <c r="I38" s="71" t="n">
        <v>1</v>
      </c>
      <c r="J38" s="71" t="n">
        <v>1</v>
      </c>
      <c r="K38" s="71" t="inlineStr">
        <is>
          <t>2</t>
        </is>
      </c>
      <c r="L38" s="71" t="n">
        <v>0</v>
      </c>
      <c r="M38" s="71" t="n">
        <v>1</v>
      </c>
      <c r="N38" s="71" t="inlineStr">
        <is>
          <t>X</t>
        </is>
      </c>
      <c r="O38" s="71" t="n">
        <v>1</v>
      </c>
      <c r="P38" s="71" t="n">
        <v>1</v>
      </c>
      <c r="Q38" s="71" t="inlineStr">
        <is>
          <t>2</t>
        </is>
      </c>
      <c r="R38" s="71" t="n">
        <v>1</v>
      </c>
      <c r="S38" s="71" t="n">
        <v>2</v>
      </c>
    </row>
    <row r="39">
      <c r="A39" s="74">
        <f>Partite!$A39</f>
        <v/>
      </c>
      <c r="B39" s="30">
        <f>Partite!$B39</f>
        <v/>
      </c>
      <c r="C39" s="75">
        <f>IF(Partite!$E39="","",Partite!$E39)</f>
        <v/>
      </c>
      <c r="D39" s="75">
        <f>IF(Partite!$F39="","",Partite!$F39)</f>
        <v/>
      </c>
      <c r="E39" s="71" t="inlineStr">
        <is>
          <t>2</t>
        </is>
      </c>
      <c r="F39" s="71" t="n">
        <v>1</v>
      </c>
      <c r="G39" s="71" t="n">
        <v>3</v>
      </c>
      <c r="H39" s="71" t="inlineStr">
        <is>
          <t>2</t>
        </is>
      </c>
      <c r="I39" s="71" t="n">
        <v>0</v>
      </c>
      <c r="J39" s="71" t="n">
        <v>3</v>
      </c>
      <c r="K39" s="71" t="inlineStr">
        <is>
          <t>2</t>
        </is>
      </c>
      <c r="L39" s="71" t="n">
        <v>0</v>
      </c>
      <c r="M39" s="71" t="n">
        <v>2</v>
      </c>
      <c r="N39" s="71" t="inlineStr">
        <is>
          <t>2</t>
        </is>
      </c>
      <c r="O39" s="71" t="n">
        <v>1</v>
      </c>
      <c r="P39" s="71" t="n">
        <v>3</v>
      </c>
      <c r="Q39" s="71" t="inlineStr">
        <is>
          <t>2</t>
        </is>
      </c>
      <c r="R39" s="71" t="n">
        <v>1</v>
      </c>
      <c r="S39" s="71" t="n">
        <v>3</v>
      </c>
    </row>
    <row r="40">
      <c r="A40" s="74">
        <f>Partite!$A40</f>
        <v/>
      </c>
      <c r="B40" s="30">
        <f>Partite!$B40</f>
        <v/>
      </c>
      <c r="C40" s="75">
        <f>IF(Partite!$E40="","",Partite!$E40)</f>
        <v/>
      </c>
      <c r="D40" s="75">
        <f>IF(Partite!$F40="","",Partite!$F40)</f>
        <v/>
      </c>
      <c r="E40" s="71" t="inlineStr">
        <is>
          <t>1</t>
        </is>
      </c>
      <c r="F40" s="71" t="n">
        <v>1</v>
      </c>
      <c r="G40" s="71" t="n">
        <v>0</v>
      </c>
      <c r="H40" s="71" t="inlineStr">
        <is>
          <t>X</t>
        </is>
      </c>
      <c r="I40" s="71" t="n">
        <v>0</v>
      </c>
      <c r="J40" s="71" t="n">
        <v>0</v>
      </c>
      <c r="K40" s="71" t="inlineStr">
        <is>
          <t>X</t>
        </is>
      </c>
      <c r="L40" s="71" t="n">
        <v>1</v>
      </c>
      <c r="M40" s="71" t="n">
        <v>1</v>
      </c>
      <c r="N40" s="71" t="inlineStr">
        <is>
          <t>X</t>
        </is>
      </c>
      <c r="O40" s="71" t="n">
        <v>1</v>
      </c>
      <c r="P40" s="71" t="n">
        <v>1</v>
      </c>
      <c r="Q40" s="71" t="inlineStr">
        <is>
          <t>X</t>
        </is>
      </c>
      <c r="R40" s="71" t="n">
        <v>1</v>
      </c>
      <c r="S40" s="71" t="n">
        <v>1</v>
      </c>
    </row>
    <row r="41">
      <c r="A41" s="74">
        <f>Partite!$A41</f>
        <v/>
      </c>
      <c r="B41" s="30">
        <f>Partite!$B41</f>
        <v/>
      </c>
      <c r="C41" s="75">
        <f>IF(Partite!$E41="","",Partite!$E41)</f>
        <v/>
      </c>
      <c r="D41" s="75">
        <f>IF(Partite!$F41="","",Partite!$F41)</f>
        <v/>
      </c>
      <c r="E41" s="71" t="inlineStr">
        <is>
          <t>X</t>
        </is>
      </c>
      <c r="F41" s="71" t="n">
        <v>1</v>
      </c>
      <c r="G41" s="71" t="n">
        <v>1</v>
      </c>
      <c r="H41" s="71" t="inlineStr">
        <is>
          <t>1</t>
        </is>
      </c>
      <c r="I41" s="71" t="n">
        <v>2</v>
      </c>
      <c r="J41" s="71" t="n">
        <v>1</v>
      </c>
      <c r="K41" s="71" t="inlineStr">
        <is>
          <t>X</t>
        </is>
      </c>
      <c r="L41" s="71" t="n">
        <v>2</v>
      </c>
      <c r="M41" s="71" t="n">
        <v>2</v>
      </c>
      <c r="N41" s="71" t="inlineStr">
        <is>
          <t>X</t>
        </is>
      </c>
      <c r="O41" s="71" t="n">
        <v>2</v>
      </c>
      <c r="P41" s="71" t="n">
        <v>2</v>
      </c>
      <c r="Q41" s="71" t="inlineStr">
        <is>
          <t>1</t>
        </is>
      </c>
      <c r="R41" s="71" t="n">
        <v>2</v>
      </c>
      <c r="S41" s="71" t="n">
        <v>0</v>
      </c>
    </row>
    <row r="42">
      <c r="A42" s="74">
        <f>Partite!$A42</f>
        <v/>
      </c>
      <c r="B42" s="30">
        <f>Partite!$B42</f>
        <v/>
      </c>
      <c r="C42" s="75">
        <f>IF(Partite!$E42="","",Partite!$E42)</f>
        <v/>
      </c>
      <c r="D42" s="75">
        <f>IF(Partite!$F42="","",Partite!$F42)</f>
        <v/>
      </c>
      <c r="E42" s="71" t="inlineStr">
        <is>
          <t>1</t>
        </is>
      </c>
      <c r="F42" s="71" t="n">
        <v>2</v>
      </c>
      <c r="G42" s="71" t="n">
        <v>0</v>
      </c>
      <c r="H42" s="71" t="inlineStr">
        <is>
          <t>1</t>
        </is>
      </c>
      <c r="I42" s="71" t="n">
        <v>3</v>
      </c>
      <c r="J42" s="71" t="n">
        <v>0</v>
      </c>
      <c r="K42" s="71" t="inlineStr">
        <is>
          <t>1</t>
        </is>
      </c>
      <c r="L42" s="71" t="n">
        <v>3</v>
      </c>
      <c r="M42" s="71" t="n">
        <v>0</v>
      </c>
      <c r="N42" s="71" t="inlineStr">
        <is>
          <t>1</t>
        </is>
      </c>
      <c r="O42" s="71" t="n">
        <v>3</v>
      </c>
      <c r="P42" s="71" t="n">
        <v>0</v>
      </c>
      <c r="Q42" s="71" t="inlineStr">
        <is>
          <t>1</t>
        </is>
      </c>
      <c r="R42" s="71" t="n">
        <v>1</v>
      </c>
      <c r="S42" s="71" t="n">
        <v>0</v>
      </c>
    </row>
    <row r="43">
      <c r="A43" s="69">
        <f>Partite!$A43</f>
        <v/>
      </c>
      <c r="B43" s="25">
        <f>Partite!$B43</f>
        <v/>
      </c>
      <c r="C43" s="70">
        <f>IF(Partite!$E43="","",Partite!$E43)</f>
        <v/>
      </c>
      <c r="D43" s="70">
        <f>IF(Partite!$F43="","",Partite!$F43)</f>
        <v/>
      </c>
      <c r="E43" s="71" t="n"/>
      <c r="F43" s="71" t="n"/>
      <c r="G43" s="71" t="n"/>
      <c r="H43" s="71" t="n"/>
      <c r="I43" s="71" t="n"/>
      <c r="J43" s="71" t="n"/>
      <c r="K43" s="71" t="n"/>
      <c r="L43" s="71" t="n"/>
      <c r="M43" s="71" t="n"/>
      <c r="N43" s="71" t="n"/>
      <c r="O43" s="71" t="n"/>
      <c r="P43" s="71" t="n"/>
      <c r="Q43" s="71" t="n"/>
      <c r="R43" s="71" t="n"/>
      <c r="S43" s="71" t="n"/>
    </row>
    <row r="44">
      <c r="A44" s="69">
        <f>Partite!$A44</f>
        <v/>
      </c>
      <c r="B44" s="25">
        <f>Partite!$B44</f>
        <v/>
      </c>
      <c r="C44" s="70">
        <f>IF(Partite!$E44="","",Partite!$E44)</f>
        <v/>
      </c>
      <c r="D44" s="70">
        <f>IF(Partite!$F44="","",Partite!$F44)</f>
        <v/>
      </c>
      <c r="E44" s="71" t="n"/>
      <c r="F44" s="71" t="n"/>
      <c r="G44" s="71" t="n"/>
      <c r="H44" s="71" t="n"/>
      <c r="I44" s="71" t="n"/>
      <c r="J44" s="71" t="n"/>
      <c r="K44" s="71" t="n"/>
      <c r="L44" s="71" t="n"/>
      <c r="M44" s="71" t="n"/>
      <c r="N44" s="71" t="n"/>
      <c r="O44" s="71" t="n"/>
      <c r="P44" s="71" t="n"/>
      <c r="Q44" s="71" t="n"/>
      <c r="R44" s="71" t="n"/>
      <c r="S44" s="71" t="n"/>
    </row>
    <row r="45">
      <c r="A45" s="69">
        <f>Partite!$A45</f>
        <v/>
      </c>
      <c r="B45" s="25">
        <f>Partite!$B45</f>
        <v/>
      </c>
      <c r="C45" s="70">
        <f>IF(Partite!$E45="","",Partite!$E45)</f>
        <v/>
      </c>
      <c r="D45" s="70">
        <f>IF(Partite!$F45="","",Partite!$F45)</f>
        <v/>
      </c>
      <c r="E45" s="71" t="n"/>
      <c r="F45" s="71" t="n"/>
      <c r="G45" s="71" t="n"/>
      <c r="H45" s="71" t="n"/>
      <c r="I45" s="71" t="n"/>
      <c r="J45" s="71" t="n"/>
      <c r="K45" s="71" t="n"/>
      <c r="L45" s="71" t="n"/>
      <c r="M45" s="71" t="n"/>
      <c r="N45" s="71" t="n"/>
      <c r="O45" s="71" t="n"/>
      <c r="P45" s="71" t="n"/>
      <c r="Q45" s="71" t="n"/>
      <c r="R45" s="71" t="n"/>
      <c r="S45" s="71" t="n"/>
    </row>
    <row r="46">
      <c r="A46" s="69">
        <f>Partite!$A46</f>
        <v/>
      </c>
      <c r="B46" s="25">
        <f>Partite!$B46</f>
        <v/>
      </c>
      <c r="C46" s="70">
        <f>IF(Partite!$E46="","",Partite!$E46)</f>
        <v/>
      </c>
      <c r="D46" s="70">
        <f>IF(Partite!$F46="","",Partite!$F46)</f>
        <v/>
      </c>
      <c r="E46" s="71" t="n"/>
      <c r="F46" s="71" t="n"/>
      <c r="G46" s="71" t="n"/>
      <c r="H46" s="71" t="n"/>
      <c r="I46" s="71" t="n"/>
      <c r="J46" s="71" t="n"/>
      <c r="K46" s="71" t="n"/>
      <c r="L46" s="71" t="n"/>
      <c r="M46" s="71" t="n"/>
      <c r="N46" s="71" t="n"/>
      <c r="O46" s="71" t="n"/>
      <c r="P46" s="71" t="n"/>
      <c r="Q46" s="71" t="n"/>
      <c r="R46" s="71" t="n"/>
      <c r="S46" s="71" t="n"/>
    </row>
    <row r="47">
      <c r="A47" s="69">
        <f>Partite!$A47</f>
        <v/>
      </c>
      <c r="B47" s="25">
        <f>Partite!$B47</f>
        <v/>
      </c>
      <c r="C47" s="70">
        <f>IF(Partite!$E47="","",Partite!$E47)</f>
        <v/>
      </c>
      <c r="D47" s="70">
        <f>IF(Partite!$F47="","",Partite!$F47)</f>
        <v/>
      </c>
      <c r="E47" s="71" t="n"/>
      <c r="F47" s="71" t="n"/>
      <c r="G47" s="71" t="n"/>
      <c r="H47" s="71" t="n"/>
      <c r="I47" s="71" t="n"/>
      <c r="J47" s="71" t="n"/>
      <c r="K47" s="71" t="n"/>
      <c r="L47" s="71" t="n"/>
      <c r="M47" s="71" t="n"/>
      <c r="N47" s="71" t="n"/>
      <c r="O47" s="71" t="n"/>
      <c r="P47" s="71" t="n"/>
      <c r="Q47" s="71" t="n"/>
      <c r="R47" s="71" t="n"/>
      <c r="S47" s="71" t="n"/>
    </row>
    <row r="48">
      <c r="A48" s="69">
        <f>Partite!$A48</f>
        <v/>
      </c>
      <c r="B48" s="25">
        <f>Partite!$B48</f>
        <v/>
      </c>
      <c r="C48" s="70">
        <f>IF(Partite!$E48="","",Partite!$E48)</f>
        <v/>
      </c>
      <c r="D48" s="70">
        <f>IF(Partite!$F48="","",Partite!$F48)</f>
        <v/>
      </c>
      <c r="E48" s="71" t="n"/>
      <c r="F48" s="71" t="n"/>
      <c r="G48" s="71" t="n"/>
      <c r="H48" s="71" t="n"/>
      <c r="I48" s="71" t="n"/>
      <c r="J48" s="71" t="n"/>
      <c r="K48" s="71" t="n"/>
      <c r="L48" s="71" t="n"/>
      <c r="M48" s="71" t="n"/>
      <c r="N48" s="71" t="n"/>
      <c r="O48" s="71" t="n"/>
      <c r="P48" s="71" t="n"/>
      <c r="Q48" s="71" t="n"/>
      <c r="R48" s="71" t="n"/>
      <c r="S48" s="71" t="n"/>
    </row>
    <row r="49">
      <c r="A49" s="69">
        <f>Partite!$A49</f>
        <v/>
      </c>
      <c r="B49" s="25">
        <f>Partite!$B49</f>
        <v/>
      </c>
      <c r="C49" s="70">
        <f>IF(Partite!$E49="","",Partite!$E49)</f>
        <v/>
      </c>
      <c r="D49" s="70">
        <f>IF(Partite!$F49="","",Partite!$F49)</f>
        <v/>
      </c>
      <c r="E49" s="71" t="n"/>
      <c r="F49" s="71" t="n"/>
      <c r="G49" s="71" t="n"/>
      <c r="H49" s="71" t="n"/>
      <c r="I49" s="71" t="n"/>
      <c r="J49" s="71" t="n"/>
      <c r="K49" s="71" t="n"/>
      <c r="L49" s="71" t="n"/>
      <c r="M49" s="71" t="n"/>
      <c r="N49" s="71" t="n"/>
      <c r="O49" s="71" t="n"/>
      <c r="P49" s="71" t="n"/>
      <c r="Q49" s="71" t="n"/>
      <c r="R49" s="71" t="n"/>
      <c r="S49" s="71" t="n"/>
    </row>
    <row r="50">
      <c r="A50" s="69">
        <f>Partite!$A50</f>
        <v/>
      </c>
      <c r="B50" s="25">
        <f>Partite!$B50</f>
        <v/>
      </c>
      <c r="C50" s="70">
        <f>IF(Partite!$E50="","",Partite!$E50)</f>
        <v/>
      </c>
      <c r="D50" s="70">
        <f>IF(Partite!$F50="","",Partite!$F50)</f>
        <v/>
      </c>
      <c r="E50" s="71" t="n"/>
      <c r="F50" s="71" t="n"/>
      <c r="G50" s="71" t="n"/>
      <c r="H50" s="71" t="n"/>
      <c r="I50" s="71" t="n"/>
      <c r="J50" s="71" t="n"/>
      <c r="K50" s="71" t="n"/>
      <c r="L50" s="71" t="n"/>
      <c r="M50" s="71" t="n"/>
      <c r="N50" s="71" t="n"/>
      <c r="O50" s="71" t="n"/>
      <c r="P50" s="71" t="n"/>
      <c r="Q50" s="71" t="n"/>
      <c r="R50" s="71" t="n"/>
      <c r="S50" s="71" t="n"/>
    </row>
    <row r="51">
      <c r="A51" s="69">
        <f>Partite!$A51</f>
        <v/>
      </c>
      <c r="B51" s="25">
        <f>Partite!$B51</f>
        <v/>
      </c>
      <c r="C51" s="70">
        <f>IF(Partite!$E51="","",Partite!$E51)</f>
        <v/>
      </c>
      <c r="D51" s="70">
        <f>IF(Partite!$F51="","",Partite!$F51)</f>
        <v/>
      </c>
      <c r="E51" s="71" t="n"/>
      <c r="F51" s="71" t="n"/>
      <c r="G51" s="71" t="n"/>
      <c r="H51" s="71" t="n"/>
      <c r="I51" s="71" t="n"/>
      <c r="J51" s="71" t="n"/>
      <c r="K51" s="71" t="n"/>
      <c r="L51" s="71" t="n"/>
      <c r="M51" s="71" t="n"/>
      <c r="N51" s="71" t="n"/>
      <c r="O51" s="71" t="n"/>
      <c r="P51" s="71" t="n"/>
      <c r="Q51" s="71" t="n"/>
      <c r="R51" s="71" t="n"/>
      <c r="S51" s="71" t="n"/>
    </row>
    <row r="52">
      <c r="A52" s="69">
        <f>Partite!$A52</f>
        <v/>
      </c>
      <c r="B52" s="25">
        <f>Partite!$B52</f>
        <v/>
      </c>
      <c r="C52" s="70">
        <f>IF(Partite!$E52="","",Partite!$E52)</f>
        <v/>
      </c>
      <c r="D52" s="70">
        <f>IF(Partite!$F52="","",Partite!$F52)</f>
        <v/>
      </c>
      <c r="E52" s="71" t="n"/>
      <c r="F52" s="71" t="n"/>
      <c r="G52" s="71" t="n"/>
      <c r="H52" s="71" t="n"/>
      <c r="I52" s="71" t="n"/>
      <c r="J52" s="71" t="n"/>
      <c r="K52" s="71" t="n"/>
      <c r="L52" s="71" t="n"/>
      <c r="M52" s="71" t="n"/>
      <c r="N52" s="71" t="n"/>
      <c r="O52" s="71" t="n"/>
      <c r="P52" s="71" t="n"/>
      <c r="Q52" s="71" t="n"/>
      <c r="R52" s="71" t="n"/>
      <c r="S52" s="71" t="n"/>
    </row>
  </sheetData>
  <autoFilter ref="A2:D5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H3 H4 H5 H6 H7 H8 H9 H10 H11 H12 H13 H14 H15 H16 H17 H18 H19 H20 H21 H22 H23 H24 H25 H26 H27 H28 H29 H30 H31 H32 H33 H34 H35 H36 H37 H38 H39 H40 H41 H42 H43 H44 H45 H46 H47 H48 H49 H50 H51 H52 K3 K4 K5 K6 K7 K8 K9 K10 K11 K12 K13 K14 K15 K16 K17 K18 K19 K20 K21 K22 K23 K24 K25 K26 K27 K28 K29 K30 K31 K32 K33 K34 K35 K36 K37 K38 K39 K40 K41 K42 K43 K44 K45 K46 K47 K48 K49 K50 K51 K52 N3 N4 N5 N6 N7 N8 N9 N10 N11 N12 N13 N14 N15 N16 N17 N18 N19 N20 N21 N22 N23 N24 N25 N26 N27 N28 N29 N30 N31 N32 N33 N34 N35 N36 N37 N38 N39 N40 N41 N42 N43 N44 N45 N46 N47 N48 N49 N50 N51 N52 Q3 Q4 Q5 Q6 Q7 Q8 Q9 Q10 Q11 Q12 Q13 Q14 Q15 Q16 Q17 Q18 Q19 Q20 Q21 Q22 Q23 Q24 Q25 Q26 Q27 Q28 Q29 Q30 Q31 Q32 Q33 Q34 Q35 Q36 Q37 Q38 Q39 Q40 Q41 Q42 Q43 Q44 Q45 Q46 Q47 Q48 Q49 Q50 Q51 Q5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T5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 width="9" customWidth="1" min="16" max="16"/>
    <col width="9" customWidth="1" min="17" max="17"/>
    <col width="9" customWidth="1" min="18" max="18"/>
    <col width="9" customWidth="1" min="19" max="19"/>
    <col width="9" customWidth="1" min="20" max="20"/>
  </cols>
  <sheetData>
    <row r="1" ht="22" customHeight="1">
      <c r="A1" s="65" t="inlineStr">
        <is>
          <t xml:space="preserve">  PUNTI PER PARTITA - tutto calcolato, non scrivere qui</t>
        </is>
      </c>
      <c r="B1" s="2" t="n"/>
      <c r="C1" s="2" t="n"/>
      <c r="D1" s="2" t="n"/>
      <c r="E1" s="2" t="n"/>
      <c r="F1" s="2" t="n"/>
      <c r="G1" s="2" t="n"/>
      <c r="H1" s="2" t="n"/>
      <c r="J1" s="35" t="inlineStr">
        <is>
          <t>servizio: a sinistra il segno effettivo (dichiarato, o dedotto dal punteggio), a destra il punteggio scritto. Servono a vedere chi era da solo.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c r="P2" s="60">
        <f>Config!$A$6</f>
        <v/>
      </c>
      <c r="Q2" s="60">
        <f>Config!$A$7</f>
        <v/>
      </c>
      <c r="R2" s="60">
        <f>Config!$A$8</f>
        <v/>
      </c>
      <c r="S2" s="60">
        <f>Config!$A$9</f>
        <v/>
      </c>
      <c r="T2" s="60">
        <f>Config!$A$10</f>
        <v/>
      </c>
    </row>
    <row r="3">
      <c r="A3" s="69">
        <f>Partite!$A3</f>
        <v/>
      </c>
      <c r="B3" s="25">
        <f>Partite!$B3</f>
        <v/>
      </c>
      <c r="C3" s="43">
        <f>IF(Partite!$E3="","",Partite!$E3&amp;"  -  "&amp;Partite!$F3)</f>
        <v/>
      </c>
      <c r="D3" s="22">
        <f>IF(Partite!$K3&lt;&gt;"Giocata","",IF(AND(Pronostici!$F3&lt;&gt;"",Pronostici!$G3&lt;&gt;"",Pronostici!$F3=Partite!$G3,Pronostici!$G3=Partite!$H3),IF(AND($B3&gt;=Config!$D$17,COUNTIF($P3:$T3,$P3)=1),Config!$D$9,Config!$D$6),IF(AND($J3&lt;&gt;"",$J3=Partite!$I3),IF(AND($B3&gt;=Config!$D$17,COUNTIF($J3:$N3,$J3)=1),Config!$D$10,Config!$D$7),Config!$D$8)))</f>
        <v/>
      </c>
      <c r="E3" s="22">
        <f>IF(Partite!$K3&lt;&gt;"Giocata","",IF(AND(Pronostici!$I3&lt;&gt;"",Pronostici!$J3&lt;&gt;"",Pronostici!$I3=Partite!$G3,Pronostici!$J3=Partite!$H3),IF(AND($B3&gt;=Config!$D$17,COUNTIF($P3:$T3,$Q3)=1),Config!$D$9,Config!$D$6),IF(AND($K3&lt;&gt;"",$K3=Partite!$I3),IF(AND($B3&gt;=Config!$D$17,COUNTIF($J3:$N3,$K3)=1),Config!$D$10,Config!$D$7),Config!$D$8)))</f>
        <v/>
      </c>
      <c r="F3" s="22">
        <f>IF(Partite!$K3&lt;&gt;"Giocata","",IF(AND(Pronostici!$L3&lt;&gt;"",Pronostici!$M3&lt;&gt;"",Pronostici!$L3=Partite!$G3,Pronostici!$M3=Partite!$H3),IF(AND($B3&gt;=Config!$D$17,COUNTIF($P3:$T3,$R3)=1),Config!$D$9,Config!$D$6),IF(AND($L3&lt;&gt;"",$L3=Partite!$I3),IF(AND($B3&gt;=Config!$D$17,COUNTIF($J3:$N3,$L3)=1),Config!$D$10,Config!$D$7),Config!$D$8)))</f>
        <v/>
      </c>
      <c r="G3" s="22">
        <f>IF(Partite!$K3&lt;&gt;"Giocata","",IF(AND(Pronostici!$O3&lt;&gt;"",Pronostici!$P3&lt;&gt;"",Pronostici!$O3=Partite!$G3,Pronostici!$P3=Partite!$H3),IF(AND($B3&gt;=Config!$D$17,COUNTIF($P3:$T3,$S3)=1),Config!$D$9,Config!$D$6),IF(AND($M3&lt;&gt;"",$M3=Partite!$I3),IF(AND($B3&gt;=Config!$D$17,COUNTIF($J3:$N3,$M3)=1),Config!$D$10,Config!$D$7),Config!$D$8)))</f>
        <v/>
      </c>
      <c r="H3" s="22">
        <f>IF(Partite!$K3&lt;&gt;"Giocata","",IF(AND(Pronostici!$R3&lt;&gt;"",Pronostici!$S3&lt;&gt;"",Pronostici!$R3=Partite!$G3,Pronostici!$S3=Partite!$H3),IF(AND($B3&gt;=Config!$D$17,COUNTIF($P3:$T3,$T3)=1),Config!$D$9,Config!$D$6),IF(AND($N3&lt;&gt;"",$N3=Partite!$I3),IF(AND($B3&gt;=Config!$D$17,COUNTIF($J3:$N3,$N3)=1),Config!$D$10,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c r="P3" s="63">
        <f>IF(OR(Pronostici!$F3="",Pronostici!$G3=""),"",Pronostici!$F3&amp;" a "&amp;Pronostici!$G3)</f>
        <v/>
      </c>
      <c r="Q3" s="63">
        <f>IF(OR(Pronostici!$I3="",Pronostici!$J3=""),"",Pronostici!$I3&amp;" a "&amp;Pronostici!$J3)</f>
        <v/>
      </c>
      <c r="R3" s="63">
        <f>IF(OR(Pronostici!$L3="",Pronostici!$M3=""),"",Pronostici!$L3&amp;" a "&amp;Pronostici!$M3)</f>
        <v/>
      </c>
      <c r="S3" s="63">
        <f>IF(OR(Pronostici!$O3="",Pronostici!$P3=""),"",Pronostici!$O3&amp;" a "&amp;Pronostici!$P3)</f>
        <v/>
      </c>
      <c r="T3" s="63">
        <f>IF(OR(Pronostici!$R3="",Pronostici!$S3=""),"",Pronostici!$R3&amp;" a "&amp;Pronostici!$S3)</f>
        <v/>
      </c>
    </row>
    <row r="4">
      <c r="A4" s="69">
        <f>Partite!$A4</f>
        <v/>
      </c>
      <c r="B4" s="25">
        <f>Partite!$B4</f>
        <v/>
      </c>
      <c r="C4" s="43">
        <f>IF(Partite!$E4="","",Partite!$E4&amp;"  -  "&amp;Partite!$F4)</f>
        <v/>
      </c>
      <c r="D4" s="22">
        <f>IF(Partite!$K4&lt;&gt;"Giocata","",IF(AND(Pronostici!$F4&lt;&gt;"",Pronostici!$G4&lt;&gt;"",Pronostici!$F4=Partite!$G4,Pronostici!$G4=Partite!$H4),IF(AND($B4&gt;=Config!$D$17,COUNTIF($P4:$T4,$P4)=1),Config!$D$9,Config!$D$6),IF(AND($J4&lt;&gt;"",$J4=Partite!$I4),IF(AND($B4&gt;=Config!$D$17,COUNTIF($J4:$N4,$J4)=1),Config!$D$10,Config!$D$7),Config!$D$8)))</f>
        <v/>
      </c>
      <c r="E4" s="22">
        <f>IF(Partite!$K4&lt;&gt;"Giocata","",IF(AND(Pronostici!$I4&lt;&gt;"",Pronostici!$J4&lt;&gt;"",Pronostici!$I4=Partite!$G4,Pronostici!$J4=Partite!$H4),IF(AND($B4&gt;=Config!$D$17,COUNTIF($P4:$T4,$Q4)=1),Config!$D$9,Config!$D$6),IF(AND($K4&lt;&gt;"",$K4=Partite!$I4),IF(AND($B4&gt;=Config!$D$17,COUNTIF($J4:$N4,$K4)=1),Config!$D$10,Config!$D$7),Config!$D$8)))</f>
        <v/>
      </c>
      <c r="F4" s="22">
        <f>IF(Partite!$K4&lt;&gt;"Giocata","",IF(AND(Pronostici!$L4&lt;&gt;"",Pronostici!$M4&lt;&gt;"",Pronostici!$L4=Partite!$G4,Pronostici!$M4=Partite!$H4),IF(AND($B4&gt;=Config!$D$17,COUNTIF($P4:$T4,$R4)=1),Config!$D$9,Config!$D$6),IF(AND($L4&lt;&gt;"",$L4=Partite!$I4),IF(AND($B4&gt;=Config!$D$17,COUNTIF($J4:$N4,$L4)=1),Config!$D$10,Config!$D$7),Config!$D$8)))</f>
        <v/>
      </c>
      <c r="G4" s="22">
        <f>IF(Partite!$K4&lt;&gt;"Giocata","",IF(AND(Pronostici!$O4&lt;&gt;"",Pronostici!$P4&lt;&gt;"",Pronostici!$O4=Partite!$G4,Pronostici!$P4=Partite!$H4),IF(AND($B4&gt;=Config!$D$17,COUNTIF($P4:$T4,$S4)=1),Config!$D$9,Config!$D$6),IF(AND($M4&lt;&gt;"",$M4=Partite!$I4),IF(AND($B4&gt;=Config!$D$17,COUNTIF($J4:$N4,$M4)=1),Config!$D$10,Config!$D$7),Config!$D$8)))</f>
        <v/>
      </c>
      <c r="H4" s="22">
        <f>IF(Partite!$K4&lt;&gt;"Giocata","",IF(AND(Pronostici!$R4&lt;&gt;"",Pronostici!$S4&lt;&gt;"",Pronostici!$R4=Partite!$G4,Pronostici!$S4=Partite!$H4),IF(AND($B4&gt;=Config!$D$17,COUNTIF($P4:$T4,$T4)=1),Config!$D$9,Config!$D$6),IF(AND($N4&lt;&gt;"",$N4=Partite!$I4),IF(AND($B4&gt;=Config!$D$17,COUNTIF($J4:$N4,$N4)=1),Config!$D$10,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c r="P4" s="63">
        <f>IF(OR(Pronostici!$F4="",Pronostici!$G4=""),"",Pronostici!$F4&amp;" a "&amp;Pronostici!$G4)</f>
        <v/>
      </c>
      <c r="Q4" s="63">
        <f>IF(OR(Pronostici!$I4="",Pronostici!$J4=""),"",Pronostici!$I4&amp;" a "&amp;Pronostici!$J4)</f>
        <v/>
      </c>
      <c r="R4" s="63">
        <f>IF(OR(Pronostici!$L4="",Pronostici!$M4=""),"",Pronostici!$L4&amp;" a "&amp;Pronostici!$M4)</f>
        <v/>
      </c>
      <c r="S4" s="63">
        <f>IF(OR(Pronostici!$O4="",Pronostici!$P4=""),"",Pronostici!$O4&amp;" a "&amp;Pronostici!$P4)</f>
        <v/>
      </c>
      <c r="T4" s="63">
        <f>IF(OR(Pronostici!$R4="",Pronostici!$S4=""),"",Pronostici!$R4&amp;" a "&amp;Pronostici!$S4)</f>
        <v/>
      </c>
    </row>
    <row r="5">
      <c r="A5" s="69">
        <f>Partite!$A5</f>
        <v/>
      </c>
      <c r="B5" s="25">
        <f>Partite!$B5</f>
        <v/>
      </c>
      <c r="C5" s="43">
        <f>IF(Partite!$E5="","",Partite!$E5&amp;"  -  "&amp;Partite!$F5)</f>
        <v/>
      </c>
      <c r="D5" s="22">
        <f>IF(Partite!$K5&lt;&gt;"Giocata","",IF(AND(Pronostici!$F5&lt;&gt;"",Pronostici!$G5&lt;&gt;"",Pronostici!$F5=Partite!$G5,Pronostici!$G5=Partite!$H5),IF(AND($B5&gt;=Config!$D$17,COUNTIF($P5:$T5,$P5)=1),Config!$D$9,Config!$D$6),IF(AND($J5&lt;&gt;"",$J5=Partite!$I5),IF(AND($B5&gt;=Config!$D$17,COUNTIF($J5:$N5,$J5)=1),Config!$D$10,Config!$D$7),Config!$D$8)))</f>
        <v/>
      </c>
      <c r="E5" s="22">
        <f>IF(Partite!$K5&lt;&gt;"Giocata","",IF(AND(Pronostici!$I5&lt;&gt;"",Pronostici!$J5&lt;&gt;"",Pronostici!$I5=Partite!$G5,Pronostici!$J5=Partite!$H5),IF(AND($B5&gt;=Config!$D$17,COUNTIF($P5:$T5,$Q5)=1),Config!$D$9,Config!$D$6),IF(AND($K5&lt;&gt;"",$K5=Partite!$I5),IF(AND($B5&gt;=Config!$D$17,COUNTIF($J5:$N5,$K5)=1),Config!$D$10,Config!$D$7),Config!$D$8)))</f>
        <v/>
      </c>
      <c r="F5" s="22">
        <f>IF(Partite!$K5&lt;&gt;"Giocata","",IF(AND(Pronostici!$L5&lt;&gt;"",Pronostici!$M5&lt;&gt;"",Pronostici!$L5=Partite!$G5,Pronostici!$M5=Partite!$H5),IF(AND($B5&gt;=Config!$D$17,COUNTIF($P5:$T5,$R5)=1),Config!$D$9,Config!$D$6),IF(AND($L5&lt;&gt;"",$L5=Partite!$I5),IF(AND($B5&gt;=Config!$D$17,COUNTIF($J5:$N5,$L5)=1),Config!$D$10,Config!$D$7),Config!$D$8)))</f>
        <v/>
      </c>
      <c r="G5" s="22">
        <f>IF(Partite!$K5&lt;&gt;"Giocata","",IF(AND(Pronostici!$O5&lt;&gt;"",Pronostici!$P5&lt;&gt;"",Pronostici!$O5=Partite!$G5,Pronostici!$P5=Partite!$H5),IF(AND($B5&gt;=Config!$D$17,COUNTIF($P5:$T5,$S5)=1),Config!$D$9,Config!$D$6),IF(AND($M5&lt;&gt;"",$M5=Partite!$I5),IF(AND($B5&gt;=Config!$D$17,COUNTIF($J5:$N5,$M5)=1),Config!$D$10,Config!$D$7),Config!$D$8)))</f>
        <v/>
      </c>
      <c r="H5" s="22">
        <f>IF(Partite!$K5&lt;&gt;"Giocata","",IF(AND(Pronostici!$R5&lt;&gt;"",Pronostici!$S5&lt;&gt;"",Pronostici!$R5=Partite!$G5,Pronostici!$S5=Partite!$H5),IF(AND($B5&gt;=Config!$D$17,COUNTIF($P5:$T5,$T5)=1),Config!$D$9,Config!$D$6),IF(AND($N5&lt;&gt;"",$N5=Partite!$I5),IF(AND($B5&gt;=Config!$D$17,COUNTIF($J5:$N5,$N5)=1),Config!$D$10,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c r="P5" s="63">
        <f>IF(OR(Pronostici!$F5="",Pronostici!$G5=""),"",Pronostici!$F5&amp;" a "&amp;Pronostici!$G5)</f>
        <v/>
      </c>
      <c r="Q5" s="63">
        <f>IF(OR(Pronostici!$I5="",Pronostici!$J5=""),"",Pronostici!$I5&amp;" a "&amp;Pronostici!$J5)</f>
        <v/>
      </c>
      <c r="R5" s="63">
        <f>IF(OR(Pronostici!$L5="",Pronostici!$M5=""),"",Pronostici!$L5&amp;" a "&amp;Pronostici!$M5)</f>
        <v/>
      </c>
      <c r="S5" s="63">
        <f>IF(OR(Pronostici!$O5="",Pronostici!$P5=""),"",Pronostici!$O5&amp;" a "&amp;Pronostici!$P5)</f>
        <v/>
      </c>
      <c r="T5" s="63">
        <f>IF(OR(Pronostici!$R5="",Pronostici!$S5=""),"",Pronostici!$R5&amp;" a "&amp;Pronostici!$S5)</f>
        <v/>
      </c>
    </row>
    <row r="6">
      <c r="A6" s="69">
        <f>Partite!$A6</f>
        <v/>
      </c>
      <c r="B6" s="25">
        <f>Partite!$B6</f>
        <v/>
      </c>
      <c r="C6" s="43">
        <f>IF(Partite!$E6="","",Partite!$E6&amp;"  -  "&amp;Partite!$F6)</f>
        <v/>
      </c>
      <c r="D6" s="22">
        <f>IF(Partite!$K6&lt;&gt;"Giocata","",IF(AND(Pronostici!$F6&lt;&gt;"",Pronostici!$G6&lt;&gt;"",Pronostici!$F6=Partite!$G6,Pronostici!$G6=Partite!$H6),IF(AND($B6&gt;=Config!$D$17,COUNTIF($P6:$T6,$P6)=1),Config!$D$9,Config!$D$6),IF(AND($J6&lt;&gt;"",$J6=Partite!$I6),IF(AND($B6&gt;=Config!$D$17,COUNTIF($J6:$N6,$J6)=1),Config!$D$10,Config!$D$7),Config!$D$8)))</f>
        <v/>
      </c>
      <c r="E6" s="22">
        <f>IF(Partite!$K6&lt;&gt;"Giocata","",IF(AND(Pronostici!$I6&lt;&gt;"",Pronostici!$J6&lt;&gt;"",Pronostici!$I6=Partite!$G6,Pronostici!$J6=Partite!$H6),IF(AND($B6&gt;=Config!$D$17,COUNTIF($P6:$T6,$Q6)=1),Config!$D$9,Config!$D$6),IF(AND($K6&lt;&gt;"",$K6=Partite!$I6),IF(AND($B6&gt;=Config!$D$17,COUNTIF($J6:$N6,$K6)=1),Config!$D$10,Config!$D$7),Config!$D$8)))</f>
        <v/>
      </c>
      <c r="F6" s="22">
        <f>IF(Partite!$K6&lt;&gt;"Giocata","",IF(AND(Pronostici!$L6&lt;&gt;"",Pronostici!$M6&lt;&gt;"",Pronostici!$L6=Partite!$G6,Pronostici!$M6=Partite!$H6),IF(AND($B6&gt;=Config!$D$17,COUNTIF($P6:$T6,$R6)=1),Config!$D$9,Config!$D$6),IF(AND($L6&lt;&gt;"",$L6=Partite!$I6),IF(AND($B6&gt;=Config!$D$17,COUNTIF($J6:$N6,$L6)=1),Config!$D$10,Config!$D$7),Config!$D$8)))</f>
        <v/>
      </c>
      <c r="G6" s="22">
        <f>IF(Partite!$K6&lt;&gt;"Giocata","",IF(AND(Pronostici!$O6&lt;&gt;"",Pronostici!$P6&lt;&gt;"",Pronostici!$O6=Partite!$G6,Pronostici!$P6=Partite!$H6),IF(AND($B6&gt;=Config!$D$17,COUNTIF($P6:$T6,$S6)=1),Config!$D$9,Config!$D$6),IF(AND($M6&lt;&gt;"",$M6=Partite!$I6),IF(AND($B6&gt;=Config!$D$17,COUNTIF($J6:$N6,$M6)=1),Config!$D$10,Config!$D$7),Config!$D$8)))</f>
        <v/>
      </c>
      <c r="H6" s="22">
        <f>IF(Partite!$K6&lt;&gt;"Giocata","",IF(AND(Pronostici!$R6&lt;&gt;"",Pronostici!$S6&lt;&gt;"",Pronostici!$R6=Partite!$G6,Pronostici!$S6=Partite!$H6),IF(AND($B6&gt;=Config!$D$17,COUNTIF($P6:$T6,$T6)=1),Config!$D$9,Config!$D$6),IF(AND($N6&lt;&gt;"",$N6=Partite!$I6),IF(AND($B6&gt;=Config!$D$17,COUNTIF($J6:$N6,$N6)=1),Config!$D$10,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c r="P6" s="63">
        <f>IF(OR(Pronostici!$F6="",Pronostici!$G6=""),"",Pronostici!$F6&amp;" a "&amp;Pronostici!$G6)</f>
        <v/>
      </c>
      <c r="Q6" s="63">
        <f>IF(OR(Pronostici!$I6="",Pronostici!$J6=""),"",Pronostici!$I6&amp;" a "&amp;Pronostici!$J6)</f>
        <v/>
      </c>
      <c r="R6" s="63">
        <f>IF(OR(Pronostici!$L6="",Pronostici!$M6=""),"",Pronostici!$L6&amp;" a "&amp;Pronostici!$M6)</f>
        <v/>
      </c>
      <c r="S6" s="63">
        <f>IF(OR(Pronostici!$O6="",Pronostici!$P6=""),"",Pronostici!$O6&amp;" a "&amp;Pronostici!$P6)</f>
        <v/>
      </c>
      <c r="T6" s="63">
        <f>IF(OR(Pronostici!$R6="",Pronostici!$S6=""),"",Pronostici!$R6&amp;" a "&amp;Pronostici!$S6)</f>
        <v/>
      </c>
    </row>
    <row r="7">
      <c r="A7" s="69">
        <f>Partite!$A7</f>
        <v/>
      </c>
      <c r="B7" s="25">
        <f>Partite!$B7</f>
        <v/>
      </c>
      <c r="C7" s="43">
        <f>IF(Partite!$E7="","",Partite!$E7&amp;"  -  "&amp;Partite!$F7)</f>
        <v/>
      </c>
      <c r="D7" s="22">
        <f>IF(Partite!$K7&lt;&gt;"Giocata","",IF(AND(Pronostici!$F7&lt;&gt;"",Pronostici!$G7&lt;&gt;"",Pronostici!$F7=Partite!$G7,Pronostici!$G7=Partite!$H7),IF(AND($B7&gt;=Config!$D$17,COUNTIF($P7:$T7,$P7)=1),Config!$D$9,Config!$D$6),IF(AND($J7&lt;&gt;"",$J7=Partite!$I7),IF(AND($B7&gt;=Config!$D$17,COUNTIF($J7:$N7,$J7)=1),Config!$D$10,Config!$D$7),Config!$D$8)))</f>
        <v/>
      </c>
      <c r="E7" s="22">
        <f>IF(Partite!$K7&lt;&gt;"Giocata","",IF(AND(Pronostici!$I7&lt;&gt;"",Pronostici!$J7&lt;&gt;"",Pronostici!$I7=Partite!$G7,Pronostici!$J7=Partite!$H7),IF(AND($B7&gt;=Config!$D$17,COUNTIF($P7:$T7,$Q7)=1),Config!$D$9,Config!$D$6),IF(AND($K7&lt;&gt;"",$K7=Partite!$I7),IF(AND($B7&gt;=Config!$D$17,COUNTIF($J7:$N7,$K7)=1),Config!$D$10,Config!$D$7),Config!$D$8)))</f>
        <v/>
      </c>
      <c r="F7" s="22">
        <f>IF(Partite!$K7&lt;&gt;"Giocata","",IF(AND(Pronostici!$L7&lt;&gt;"",Pronostici!$M7&lt;&gt;"",Pronostici!$L7=Partite!$G7,Pronostici!$M7=Partite!$H7),IF(AND($B7&gt;=Config!$D$17,COUNTIF($P7:$T7,$R7)=1),Config!$D$9,Config!$D$6),IF(AND($L7&lt;&gt;"",$L7=Partite!$I7),IF(AND($B7&gt;=Config!$D$17,COUNTIF($J7:$N7,$L7)=1),Config!$D$10,Config!$D$7),Config!$D$8)))</f>
        <v/>
      </c>
      <c r="G7" s="22">
        <f>IF(Partite!$K7&lt;&gt;"Giocata","",IF(AND(Pronostici!$O7&lt;&gt;"",Pronostici!$P7&lt;&gt;"",Pronostici!$O7=Partite!$G7,Pronostici!$P7=Partite!$H7),IF(AND($B7&gt;=Config!$D$17,COUNTIF($P7:$T7,$S7)=1),Config!$D$9,Config!$D$6),IF(AND($M7&lt;&gt;"",$M7=Partite!$I7),IF(AND($B7&gt;=Config!$D$17,COUNTIF($J7:$N7,$M7)=1),Config!$D$10,Config!$D$7),Config!$D$8)))</f>
        <v/>
      </c>
      <c r="H7" s="22">
        <f>IF(Partite!$K7&lt;&gt;"Giocata","",IF(AND(Pronostici!$R7&lt;&gt;"",Pronostici!$S7&lt;&gt;"",Pronostici!$R7=Partite!$G7,Pronostici!$S7=Partite!$H7),IF(AND($B7&gt;=Config!$D$17,COUNTIF($P7:$T7,$T7)=1),Config!$D$9,Config!$D$6),IF(AND($N7&lt;&gt;"",$N7=Partite!$I7),IF(AND($B7&gt;=Config!$D$17,COUNTIF($J7:$N7,$N7)=1),Config!$D$10,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c r="P7" s="63">
        <f>IF(OR(Pronostici!$F7="",Pronostici!$G7=""),"",Pronostici!$F7&amp;" a "&amp;Pronostici!$G7)</f>
        <v/>
      </c>
      <c r="Q7" s="63">
        <f>IF(OR(Pronostici!$I7="",Pronostici!$J7=""),"",Pronostici!$I7&amp;" a "&amp;Pronostici!$J7)</f>
        <v/>
      </c>
      <c r="R7" s="63">
        <f>IF(OR(Pronostici!$L7="",Pronostici!$M7=""),"",Pronostici!$L7&amp;" a "&amp;Pronostici!$M7)</f>
        <v/>
      </c>
      <c r="S7" s="63">
        <f>IF(OR(Pronostici!$O7="",Pronostici!$P7=""),"",Pronostici!$O7&amp;" a "&amp;Pronostici!$P7)</f>
        <v/>
      </c>
      <c r="T7" s="63">
        <f>IF(OR(Pronostici!$R7="",Pronostici!$S7=""),"",Pronostici!$R7&amp;" a "&amp;Pronostici!$S7)</f>
        <v/>
      </c>
    </row>
    <row r="8">
      <c r="A8" s="69">
        <f>Partite!$A8</f>
        <v/>
      </c>
      <c r="B8" s="25">
        <f>Partite!$B8</f>
        <v/>
      </c>
      <c r="C8" s="43">
        <f>IF(Partite!$E8="","",Partite!$E8&amp;"  -  "&amp;Partite!$F8)</f>
        <v/>
      </c>
      <c r="D8" s="22">
        <f>IF(Partite!$K8&lt;&gt;"Giocata","",IF(AND(Pronostici!$F8&lt;&gt;"",Pronostici!$G8&lt;&gt;"",Pronostici!$F8=Partite!$G8,Pronostici!$G8=Partite!$H8),IF(AND($B8&gt;=Config!$D$17,COUNTIF($P8:$T8,$P8)=1),Config!$D$9,Config!$D$6),IF(AND($J8&lt;&gt;"",$J8=Partite!$I8),IF(AND($B8&gt;=Config!$D$17,COUNTIF($J8:$N8,$J8)=1),Config!$D$10,Config!$D$7),Config!$D$8)))</f>
        <v/>
      </c>
      <c r="E8" s="22">
        <f>IF(Partite!$K8&lt;&gt;"Giocata","",IF(AND(Pronostici!$I8&lt;&gt;"",Pronostici!$J8&lt;&gt;"",Pronostici!$I8=Partite!$G8,Pronostici!$J8=Partite!$H8),IF(AND($B8&gt;=Config!$D$17,COUNTIF($P8:$T8,$Q8)=1),Config!$D$9,Config!$D$6),IF(AND($K8&lt;&gt;"",$K8=Partite!$I8),IF(AND($B8&gt;=Config!$D$17,COUNTIF($J8:$N8,$K8)=1),Config!$D$10,Config!$D$7),Config!$D$8)))</f>
        <v/>
      </c>
      <c r="F8" s="22">
        <f>IF(Partite!$K8&lt;&gt;"Giocata","",IF(AND(Pronostici!$L8&lt;&gt;"",Pronostici!$M8&lt;&gt;"",Pronostici!$L8=Partite!$G8,Pronostici!$M8=Partite!$H8),IF(AND($B8&gt;=Config!$D$17,COUNTIF($P8:$T8,$R8)=1),Config!$D$9,Config!$D$6),IF(AND($L8&lt;&gt;"",$L8=Partite!$I8),IF(AND($B8&gt;=Config!$D$17,COUNTIF($J8:$N8,$L8)=1),Config!$D$10,Config!$D$7),Config!$D$8)))</f>
        <v/>
      </c>
      <c r="G8" s="22">
        <f>IF(Partite!$K8&lt;&gt;"Giocata","",IF(AND(Pronostici!$O8&lt;&gt;"",Pronostici!$P8&lt;&gt;"",Pronostici!$O8=Partite!$G8,Pronostici!$P8=Partite!$H8),IF(AND($B8&gt;=Config!$D$17,COUNTIF($P8:$T8,$S8)=1),Config!$D$9,Config!$D$6),IF(AND($M8&lt;&gt;"",$M8=Partite!$I8),IF(AND($B8&gt;=Config!$D$17,COUNTIF($J8:$N8,$M8)=1),Config!$D$10,Config!$D$7),Config!$D$8)))</f>
        <v/>
      </c>
      <c r="H8" s="22">
        <f>IF(Partite!$K8&lt;&gt;"Giocata","",IF(AND(Pronostici!$R8&lt;&gt;"",Pronostici!$S8&lt;&gt;"",Pronostici!$R8=Partite!$G8,Pronostici!$S8=Partite!$H8),IF(AND($B8&gt;=Config!$D$17,COUNTIF($P8:$T8,$T8)=1),Config!$D$9,Config!$D$6),IF(AND($N8&lt;&gt;"",$N8=Partite!$I8),IF(AND($B8&gt;=Config!$D$17,COUNTIF($J8:$N8,$N8)=1),Config!$D$10,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c r="P8" s="63">
        <f>IF(OR(Pronostici!$F8="",Pronostici!$G8=""),"",Pronostici!$F8&amp;" a "&amp;Pronostici!$G8)</f>
        <v/>
      </c>
      <c r="Q8" s="63">
        <f>IF(OR(Pronostici!$I8="",Pronostici!$J8=""),"",Pronostici!$I8&amp;" a "&amp;Pronostici!$J8)</f>
        <v/>
      </c>
      <c r="R8" s="63">
        <f>IF(OR(Pronostici!$L8="",Pronostici!$M8=""),"",Pronostici!$L8&amp;" a "&amp;Pronostici!$M8)</f>
        <v/>
      </c>
      <c r="S8" s="63">
        <f>IF(OR(Pronostici!$O8="",Pronostici!$P8=""),"",Pronostici!$O8&amp;" a "&amp;Pronostici!$P8)</f>
        <v/>
      </c>
      <c r="T8" s="63">
        <f>IF(OR(Pronostici!$R8="",Pronostici!$S8=""),"",Pronostici!$R8&amp;" a "&amp;Pronostici!$S8)</f>
        <v/>
      </c>
    </row>
    <row r="9">
      <c r="A9" s="69">
        <f>Partite!$A9</f>
        <v/>
      </c>
      <c r="B9" s="25">
        <f>Partite!$B9</f>
        <v/>
      </c>
      <c r="C9" s="43">
        <f>IF(Partite!$E9="","",Partite!$E9&amp;"  -  "&amp;Partite!$F9)</f>
        <v/>
      </c>
      <c r="D9" s="22">
        <f>IF(Partite!$K9&lt;&gt;"Giocata","",IF(AND(Pronostici!$F9&lt;&gt;"",Pronostici!$G9&lt;&gt;"",Pronostici!$F9=Partite!$G9,Pronostici!$G9=Partite!$H9),IF(AND($B9&gt;=Config!$D$17,COUNTIF($P9:$T9,$P9)=1),Config!$D$9,Config!$D$6),IF(AND($J9&lt;&gt;"",$J9=Partite!$I9),IF(AND($B9&gt;=Config!$D$17,COUNTIF($J9:$N9,$J9)=1),Config!$D$10,Config!$D$7),Config!$D$8)))</f>
        <v/>
      </c>
      <c r="E9" s="22">
        <f>IF(Partite!$K9&lt;&gt;"Giocata","",IF(AND(Pronostici!$I9&lt;&gt;"",Pronostici!$J9&lt;&gt;"",Pronostici!$I9=Partite!$G9,Pronostici!$J9=Partite!$H9),IF(AND($B9&gt;=Config!$D$17,COUNTIF($P9:$T9,$Q9)=1),Config!$D$9,Config!$D$6),IF(AND($K9&lt;&gt;"",$K9=Partite!$I9),IF(AND($B9&gt;=Config!$D$17,COUNTIF($J9:$N9,$K9)=1),Config!$D$10,Config!$D$7),Config!$D$8)))</f>
        <v/>
      </c>
      <c r="F9" s="22">
        <f>IF(Partite!$K9&lt;&gt;"Giocata","",IF(AND(Pronostici!$L9&lt;&gt;"",Pronostici!$M9&lt;&gt;"",Pronostici!$L9=Partite!$G9,Pronostici!$M9=Partite!$H9),IF(AND($B9&gt;=Config!$D$17,COUNTIF($P9:$T9,$R9)=1),Config!$D$9,Config!$D$6),IF(AND($L9&lt;&gt;"",$L9=Partite!$I9),IF(AND($B9&gt;=Config!$D$17,COUNTIF($J9:$N9,$L9)=1),Config!$D$10,Config!$D$7),Config!$D$8)))</f>
        <v/>
      </c>
      <c r="G9" s="22">
        <f>IF(Partite!$K9&lt;&gt;"Giocata","",IF(AND(Pronostici!$O9&lt;&gt;"",Pronostici!$P9&lt;&gt;"",Pronostici!$O9=Partite!$G9,Pronostici!$P9=Partite!$H9),IF(AND($B9&gt;=Config!$D$17,COUNTIF($P9:$T9,$S9)=1),Config!$D$9,Config!$D$6),IF(AND($M9&lt;&gt;"",$M9=Partite!$I9),IF(AND($B9&gt;=Config!$D$17,COUNTIF($J9:$N9,$M9)=1),Config!$D$10,Config!$D$7),Config!$D$8)))</f>
        <v/>
      </c>
      <c r="H9" s="22">
        <f>IF(Partite!$K9&lt;&gt;"Giocata","",IF(AND(Pronostici!$R9&lt;&gt;"",Pronostici!$S9&lt;&gt;"",Pronostici!$R9=Partite!$G9,Pronostici!$S9=Partite!$H9),IF(AND($B9&gt;=Config!$D$17,COUNTIF($P9:$T9,$T9)=1),Config!$D$9,Config!$D$6),IF(AND($N9&lt;&gt;"",$N9=Partite!$I9),IF(AND($B9&gt;=Config!$D$17,COUNTIF($J9:$N9,$N9)=1),Config!$D$10,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c r="P9" s="63">
        <f>IF(OR(Pronostici!$F9="",Pronostici!$G9=""),"",Pronostici!$F9&amp;" a "&amp;Pronostici!$G9)</f>
        <v/>
      </c>
      <c r="Q9" s="63">
        <f>IF(OR(Pronostici!$I9="",Pronostici!$J9=""),"",Pronostici!$I9&amp;" a "&amp;Pronostici!$J9)</f>
        <v/>
      </c>
      <c r="R9" s="63">
        <f>IF(OR(Pronostici!$L9="",Pronostici!$M9=""),"",Pronostici!$L9&amp;" a "&amp;Pronostici!$M9)</f>
        <v/>
      </c>
      <c r="S9" s="63">
        <f>IF(OR(Pronostici!$O9="",Pronostici!$P9=""),"",Pronostici!$O9&amp;" a "&amp;Pronostici!$P9)</f>
        <v/>
      </c>
      <c r="T9" s="63">
        <f>IF(OR(Pronostici!$R9="",Pronostici!$S9=""),"",Pronostici!$R9&amp;" a "&amp;Pronostici!$S9)</f>
        <v/>
      </c>
    </row>
    <row r="10">
      <c r="A10" s="69">
        <f>Partite!$A10</f>
        <v/>
      </c>
      <c r="B10" s="25">
        <f>Partite!$B10</f>
        <v/>
      </c>
      <c r="C10" s="43">
        <f>IF(Partite!$E10="","",Partite!$E10&amp;"  -  "&amp;Partite!$F10)</f>
        <v/>
      </c>
      <c r="D10" s="22">
        <f>IF(Partite!$K10&lt;&gt;"Giocata","",IF(AND(Pronostici!$F10&lt;&gt;"",Pronostici!$G10&lt;&gt;"",Pronostici!$F10=Partite!$G10,Pronostici!$G10=Partite!$H10),IF(AND($B10&gt;=Config!$D$17,COUNTIF($P10:$T10,$P10)=1),Config!$D$9,Config!$D$6),IF(AND($J10&lt;&gt;"",$J10=Partite!$I10),IF(AND($B10&gt;=Config!$D$17,COUNTIF($J10:$N10,$J10)=1),Config!$D$10,Config!$D$7),Config!$D$8)))</f>
        <v/>
      </c>
      <c r="E10" s="22">
        <f>IF(Partite!$K10&lt;&gt;"Giocata","",IF(AND(Pronostici!$I10&lt;&gt;"",Pronostici!$J10&lt;&gt;"",Pronostici!$I10=Partite!$G10,Pronostici!$J10=Partite!$H10),IF(AND($B10&gt;=Config!$D$17,COUNTIF($P10:$T10,$Q10)=1),Config!$D$9,Config!$D$6),IF(AND($K10&lt;&gt;"",$K10=Partite!$I10),IF(AND($B10&gt;=Config!$D$17,COUNTIF($J10:$N10,$K10)=1),Config!$D$10,Config!$D$7),Config!$D$8)))</f>
        <v/>
      </c>
      <c r="F10" s="22">
        <f>IF(Partite!$K10&lt;&gt;"Giocata","",IF(AND(Pronostici!$L10&lt;&gt;"",Pronostici!$M10&lt;&gt;"",Pronostici!$L10=Partite!$G10,Pronostici!$M10=Partite!$H10),IF(AND($B10&gt;=Config!$D$17,COUNTIF($P10:$T10,$R10)=1),Config!$D$9,Config!$D$6),IF(AND($L10&lt;&gt;"",$L10=Partite!$I10),IF(AND($B10&gt;=Config!$D$17,COUNTIF($J10:$N10,$L10)=1),Config!$D$10,Config!$D$7),Config!$D$8)))</f>
        <v/>
      </c>
      <c r="G10" s="22">
        <f>IF(Partite!$K10&lt;&gt;"Giocata","",IF(AND(Pronostici!$O10&lt;&gt;"",Pronostici!$P10&lt;&gt;"",Pronostici!$O10=Partite!$G10,Pronostici!$P10=Partite!$H10),IF(AND($B10&gt;=Config!$D$17,COUNTIF($P10:$T10,$S10)=1),Config!$D$9,Config!$D$6),IF(AND($M10&lt;&gt;"",$M10=Partite!$I10),IF(AND($B10&gt;=Config!$D$17,COUNTIF($J10:$N10,$M10)=1),Config!$D$10,Config!$D$7),Config!$D$8)))</f>
        <v/>
      </c>
      <c r="H10" s="22">
        <f>IF(Partite!$K10&lt;&gt;"Giocata","",IF(AND(Pronostici!$R10&lt;&gt;"",Pronostici!$S10&lt;&gt;"",Pronostici!$R10=Partite!$G10,Pronostici!$S10=Partite!$H10),IF(AND($B10&gt;=Config!$D$17,COUNTIF($P10:$T10,$T10)=1),Config!$D$9,Config!$D$6),IF(AND($N10&lt;&gt;"",$N10=Partite!$I10),IF(AND($B10&gt;=Config!$D$17,COUNTIF($J10:$N10,$N10)=1),Config!$D$10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c r="P10" s="63">
        <f>IF(OR(Pronostici!$F10="",Pronostici!$G10=""),"",Pronostici!$F10&amp;" a "&amp;Pronostici!$G10)</f>
        <v/>
      </c>
      <c r="Q10" s="63">
        <f>IF(OR(Pronostici!$I10="",Pronostici!$J10=""),"",Pronostici!$I10&amp;" a "&amp;Pronostici!$J10)</f>
        <v/>
      </c>
      <c r="R10" s="63">
        <f>IF(OR(Pronostici!$L10="",Pronostici!$M10=""),"",Pronostici!$L10&amp;" a "&amp;Pronostici!$M10)</f>
        <v/>
      </c>
      <c r="S10" s="63">
        <f>IF(OR(Pronostici!$O10="",Pronostici!$P10=""),"",Pronostici!$O10&amp;" a "&amp;Pronostici!$P10)</f>
        <v/>
      </c>
      <c r="T10" s="63">
        <f>IF(OR(Pronostici!$R10="",Pronostici!$S10=""),"",Pronostici!$R10&amp;" a "&amp;Pronostici!$S10)</f>
        <v/>
      </c>
    </row>
    <row r="11">
      <c r="A11" s="69">
        <f>Partite!$A11</f>
        <v/>
      </c>
      <c r="B11" s="25">
        <f>Partite!$B11</f>
        <v/>
      </c>
      <c r="C11" s="43">
        <f>IF(Partite!$E11="","",Partite!$E11&amp;"  -  "&amp;Partite!$F11)</f>
        <v/>
      </c>
      <c r="D11" s="22">
        <f>IF(Partite!$K11&lt;&gt;"Giocata","",IF(AND(Pronostici!$F11&lt;&gt;"",Pronostici!$G11&lt;&gt;"",Pronostici!$F11=Partite!$G11,Pronostici!$G11=Partite!$H11),IF(AND($B11&gt;=Config!$D$17,COUNTIF($P11:$T11,$P11)=1),Config!$D$9,Config!$D$6),IF(AND($J11&lt;&gt;"",$J11=Partite!$I11),IF(AND($B11&gt;=Config!$D$17,COUNTIF($J11:$N11,$J11)=1),Config!$D$10,Config!$D$7),Config!$D$8)))</f>
        <v/>
      </c>
      <c r="E11" s="22">
        <f>IF(Partite!$K11&lt;&gt;"Giocata","",IF(AND(Pronostici!$I11&lt;&gt;"",Pronostici!$J11&lt;&gt;"",Pronostici!$I11=Partite!$G11,Pronostici!$J11=Partite!$H11),IF(AND($B11&gt;=Config!$D$17,COUNTIF($P11:$T11,$Q11)=1),Config!$D$9,Config!$D$6),IF(AND($K11&lt;&gt;"",$K11=Partite!$I11),IF(AND($B11&gt;=Config!$D$17,COUNTIF($J11:$N11,$K11)=1),Config!$D$10,Config!$D$7),Config!$D$8)))</f>
        <v/>
      </c>
      <c r="F11" s="22">
        <f>IF(Partite!$K11&lt;&gt;"Giocata","",IF(AND(Pronostici!$L11&lt;&gt;"",Pronostici!$M11&lt;&gt;"",Pronostici!$L11=Partite!$G11,Pronostici!$M11=Partite!$H11),IF(AND($B11&gt;=Config!$D$17,COUNTIF($P11:$T11,$R11)=1),Config!$D$9,Config!$D$6),IF(AND($L11&lt;&gt;"",$L11=Partite!$I11),IF(AND($B11&gt;=Config!$D$17,COUNTIF($J11:$N11,$L11)=1),Config!$D$10,Config!$D$7),Config!$D$8)))</f>
        <v/>
      </c>
      <c r="G11" s="22">
        <f>IF(Partite!$K11&lt;&gt;"Giocata","",IF(AND(Pronostici!$O11&lt;&gt;"",Pronostici!$P11&lt;&gt;"",Pronostici!$O11=Partite!$G11,Pronostici!$P11=Partite!$H11),IF(AND($B11&gt;=Config!$D$17,COUNTIF($P11:$T11,$S11)=1),Config!$D$9,Config!$D$6),IF(AND($M11&lt;&gt;"",$M11=Partite!$I11),IF(AND($B11&gt;=Config!$D$17,COUNTIF($J11:$N11,$M11)=1),Config!$D$10,Config!$D$7),Config!$D$8)))</f>
        <v/>
      </c>
      <c r="H11" s="22">
        <f>IF(Partite!$K11&lt;&gt;"Giocata","",IF(AND(Pronostici!$R11&lt;&gt;"",Pronostici!$S11&lt;&gt;"",Pronostici!$R11=Partite!$G11,Pronostici!$S11=Partite!$H11),IF(AND($B11&gt;=Config!$D$17,COUNTIF($P11:$T11,$T11)=1),Config!$D$9,Config!$D$6),IF(AND($N11&lt;&gt;"",$N11=Partite!$I11),IF(AND($B11&gt;=Config!$D$17,COUNTIF($J11:$N11,$N11)=1),Config!$D$10,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c r="P11" s="63">
        <f>IF(OR(Pronostici!$F11="",Pronostici!$G11=""),"",Pronostici!$F11&amp;" a "&amp;Pronostici!$G11)</f>
        <v/>
      </c>
      <c r="Q11" s="63">
        <f>IF(OR(Pronostici!$I11="",Pronostici!$J11=""),"",Pronostici!$I11&amp;" a "&amp;Pronostici!$J11)</f>
        <v/>
      </c>
      <c r="R11" s="63">
        <f>IF(OR(Pronostici!$L11="",Pronostici!$M11=""),"",Pronostici!$L11&amp;" a "&amp;Pronostici!$M11)</f>
        <v/>
      </c>
      <c r="S11" s="63">
        <f>IF(OR(Pronostici!$O11="",Pronostici!$P11=""),"",Pronostici!$O11&amp;" a "&amp;Pronostici!$P11)</f>
        <v/>
      </c>
      <c r="T11" s="63">
        <f>IF(OR(Pronostici!$R11="",Pronostici!$S11=""),"",Pronostici!$R11&amp;" a "&amp;Pronostici!$S11)</f>
        <v/>
      </c>
    </row>
    <row r="12">
      <c r="A12" s="69">
        <f>Partite!$A12</f>
        <v/>
      </c>
      <c r="B12" s="25">
        <f>Partite!$B12</f>
        <v/>
      </c>
      <c r="C12" s="43">
        <f>IF(Partite!$E12="","",Partite!$E12&amp;"  -  "&amp;Partite!$F12)</f>
        <v/>
      </c>
      <c r="D12" s="22">
        <f>IF(Partite!$K12&lt;&gt;"Giocata","",IF(AND(Pronostici!$F12&lt;&gt;"",Pronostici!$G12&lt;&gt;"",Pronostici!$F12=Partite!$G12,Pronostici!$G12=Partite!$H12),IF(AND($B12&gt;=Config!$D$17,COUNTIF($P12:$T12,$P12)=1),Config!$D$9,Config!$D$6),IF(AND($J12&lt;&gt;"",$J12=Partite!$I12),IF(AND($B12&gt;=Config!$D$17,COUNTIF($J12:$N12,$J12)=1),Config!$D$10,Config!$D$7),Config!$D$8)))</f>
        <v/>
      </c>
      <c r="E12" s="22">
        <f>IF(Partite!$K12&lt;&gt;"Giocata","",IF(AND(Pronostici!$I12&lt;&gt;"",Pronostici!$J12&lt;&gt;"",Pronostici!$I12=Partite!$G12,Pronostici!$J12=Partite!$H12),IF(AND($B12&gt;=Config!$D$17,COUNTIF($P12:$T12,$Q12)=1),Config!$D$9,Config!$D$6),IF(AND($K12&lt;&gt;"",$K12=Partite!$I12),IF(AND($B12&gt;=Config!$D$17,COUNTIF($J12:$N12,$K12)=1),Config!$D$10,Config!$D$7),Config!$D$8)))</f>
        <v/>
      </c>
      <c r="F12" s="22">
        <f>IF(Partite!$K12&lt;&gt;"Giocata","",IF(AND(Pronostici!$L12&lt;&gt;"",Pronostici!$M12&lt;&gt;"",Pronostici!$L12=Partite!$G12,Pronostici!$M12=Partite!$H12),IF(AND($B12&gt;=Config!$D$17,COUNTIF($P12:$T12,$R12)=1),Config!$D$9,Config!$D$6),IF(AND($L12&lt;&gt;"",$L12=Partite!$I12),IF(AND($B12&gt;=Config!$D$17,COUNTIF($J12:$N12,$L12)=1),Config!$D$10,Config!$D$7),Config!$D$8)))</f>
        <v/>
      </c>
      <c r="G12" s="22">
        <f>IF(Partite!$K12&lt;&gt;"Giocata","",IF(AND(Pronostici!$O12&lt;&gt;"",Pronostici!$P12&lt;&gt;"",Pronostici!$O12=Partite!$G12,Pronostici!$P12=Partite!$H12),IF(AND($B12&gt;=Config!$D$17,COUNTIF($P12:$T12,$S12)=1),Config!$D$9,Config!$D$6),IF(AND($M12&lt;&gt;"",$M12=Partite!$I12),IF(AND($B12&gt;=Config!$D$17,COUNTIF($J12:$N12,$M12)=1),Config!$D$10,Config!$D$7),Config!$D$8)))</f>
        <v/>
      </c>
      <c r="H12" s="22">
        <f>IF(Partite!$K12&lt;&gt;"Giocata","",IF(AND(Pronostici!$R12&lt;&gt;"",Pronostici!$S12&lt;&gt;"",Pronostici!$R12=Partite!$G12,Pronostici!$S12=Partite!$H12),IF(AND($B12&gt;=Config!$D$17,COUNTIF($P12:$T12,$T12)=1),Config!$D$9,Config!$D$6),IF(AND($N12&lt;&gt;"",$N12=Partite!$I12),IF(AND($B12&gt;=Config!$D$17,COUNTIF($J12:$N12,$N12)=1),Config!$D$10,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c r="P12" s="63">
        <f>IF(OR(Pronostici!$F12="",Pronostici!$G12=""),"",Pronostici!$F12&amp;" a "&amp;Pronostici!$G12)</f>
        <v/>
      </c>
      <c r="Q12" s="63">
        <f>IF(OR(Pronostici!$I12="",Pronostici!$J12=""),"",Pronostici!$I12&amp;" a "&amp;Pronostici!$J12)</f>
        <v/>
      </c>
      <c r="R12" s="63">
        <f>IF(OR(Pronostici!$L12="",Pronostici!$M12=""),"",Pronostici!$L12&amp;" a "&amp;Pronostici!$M12)</f>
        <v/>
      </c>
      <c r="S12" s="63">
        <f>IF(OR(Pronostici!$O12="",Pronostici!$P12=""),"",Pronostici!$O12&amp;" a "&amp;Pronostici!$P12)</f>
        <v/>
      </c>
      <c r="T12" s="63">
        <f>IF(OR(Pronostici!$R12="",Pronostici!$S12=""),"",Pronostici!$R12&amp;" a "&amp;Pronostici!$S12)</f>
        <v/>
      </c>
    </row>
    <row r="13">
      <c r="A13" s="74">
        <f>Partite!$A13</f>
        <v/>
      </c>
      <c r="B13" s="30">
        <f>Partite!$B13</f>
        <v/>
      </c>
      <c r="C13" s="47">
        <f>IF(Partite!$E13="","",Partite!$E13&amp;"  -  "&amp;Partite!$F13)</f>
        <v/>
      </c>
      <c r="D13" s="27">
        <f>IF(Partite!$K13&lt;&gt;"Giocata","",IF(AND(Pronostici!$F13&lt;&gt;"",Pronostici!$G13&lt;&gt;"",Pronostici!$F13=Partite!$G13,Pronostici!$G13=Partite!$H13),IF(AND($B13&gt;=Config!$D$17,COUNTIF($P13:$T13,$P13)=1),Config!$D$9,Config!$D$6),IF(AND($J13&lt;&gt;"",$J13=Partite!$I13),IF(AND($B13&gt;=Config!$D$17,COUNTIF($J13:$N13,$J13)=1),Config!$D$10,Config!$D$7),Config!$D$8)))</f>
        <v/>
      </c>
      <c r="E13" s="27">
        <f>IF(Partite!$K13&lt;&gt;"Giocata","",IF(AND(Pronostici!$I13&lt;&gt;"",Pronostici!$J13&lt;&gt;"",Pronostici!$I13=Partite!$G13,Pronostici!$J13=Partite!$H13),IF(AND($B13&gt;=Config!$D$17,COUNTIF($P13:$T13,$Q13)=1),Config!$D$9,Config!$D$6),IF(AND($K13&lt;&gt;"",$K13=Partite!$I13),IF(AND($B13&gt;=Config!$D$17,COUNTIF($J13:$N13,$K13)=1),Config!$D$10,Config!$D$7),Config!$D$8)))</f>
        <v/>
      </c>
      <c r="F13" s="27">
        <f>IF(Partite!$K13&lt;&gt;"Giocata","",IF(AND(Pronostici!$L13&lt;&gt;"",Pronostici!$M13&lt;&gt;"",Pronostici!$L13=Partite!$G13,Pronostici!$M13=Partite!$H13),IF(AND($B13&gt;=Config!$D$17,COUNTIF($P13:$T13,$R13)=1),Config!$D$9,Config!$D$6),IF(AND($L13&lt;&gt;"",$L13=Partite!$I13),IF(AND($B13&gt;=Config!$D$17,COUNTIF($J13:$N13,$L13)=1),Config!$D$10,Config!$D$7),Config!$D$8)))</f>
        <v/>
      </c>
      <c r="G13" s="27">
        <f>IF(Partite!$K13&lt;&gt;"Giocata","",IF(AND(Pronostici!$O13&lt;&gt;"",Pronostici!$P13&lt;&gt;"",Pronostici!$O13=Partite!$G13,Pronostici!$P13=Partite!$H13),IF(AND($B13&gt;=Config!$D$17,COUNTIF($P13:$T13,$S13)=1),Config!$D$9,Config!$D$6),IF(AND($M13&lt;&gt;"",$M13=Partite!$I13),IF(AND($B13&gt;=Config!$D$17,COUNTIF($J13:$N13,$M13)=1),Config!$D$10,Config!$D$7),Config!$D$8)))</f>
        <v/>
      </c>
      <c r="H13" s="27">
        <f>IF(Partite!$K13&lt;&gt;"Giocata","",IF(AND(Pronostici!$R13&lt;&gt;"",Pronostici!$S13&lt;&gt;"",Pronostici!$R13=Partite!$G13,Pronostici!$S13=Partite!$H13),IF(AND($B13&gt;=Config!$D$17,COUNTIF($P13:$T13,$T13)=1),Config!$D$9,Config!$D$6),IF(AND($N13&lt;&gt;"",$N13=Partite!$I13),IF(AND($B13&gt;=Config!$D$17,COUNTIF($J13:$N13,$N13)=1),Config!$D$10,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c r="P13" s="63">
        <f>IF(OR(Pronostici!$F13="",Pronostici!$G13=""),"",Pronostici!$F13&amp;" a "&amp;Pronostici!$G13)</f>
        <v/>
      </c>
      <c r="Q13" s="63">
        <f>IF(OR(Pronostici!$I13="",Pronostici!$J13=""),"",Pronostici!$I13&amp;" a "&amp;Pronostici!$J13)</f>
        <v/>
      </c>
      <c r="R13" s="63">
        <f>IF(OR(Pronostici!$L13="",Pronostici!$M13=""),"",Pronostici!$L13&amp;" a "&amp;Pronostici!$M13)</f>
        <v/>
      </c>
      <c r="S13" s="63">
        <f>IF(OR(Pronostici!$O13="",Pronostici!$P13=""),"",Pronostici!$O13&amp;" a "&amp;Pronostici!$P13)</f>
        <v/>
      </c>
      <c r="T13" s="63">
        <f>IF(OR(Pronostici!$R13="",Pronostici!$S13=""),"",Pronostici!$R13&amp;" a "&amp;Pronostici!$S13)</f>
        <v/>
      </c>
    </row>
    <row r="14">
      <c r="A14" s="74">
        <f>Partite!$A14</f>
        <v/>
      </c>
      <c r="B14" s="30">
        <f>Partite!$B14</f>
        <v/>
      </c>
      <c r="C14" s="47">
        <f>IF(Partite!$E14="","",Partite!$E14&amp;"  -  "&amp;Partite!$F14)</f>
        <v/>
      </c>
      <c r="D14" s="27">
        <f>IF(Partite!$K14&lt;&gt;"Giocata","",IF(AND(Pronostici!$F14&lt;&gt;"",Pronostici!$G14&lt;&gt;"",Pronostici!$F14=Partite!$G14,Pronostici!$G14=Partite!$H14),IF(AND($B14&gt;=Config!$D$17,COUNTIF($P14:$T14,$P14)=1),Config!$D$9,Config!$D$6),IF(AND($J14&lt;&gt;"",$J14=Partite!$I14),IF(AND($B14&gt;=Config!$D$17,COUNTIF($J14:$N14,$J14)=1),Config!$D$10,Config!$D$7),Config!$D$8)))</f>
        <v/>
      </c>
      <c r="E14" s="27">
        <f>IF(Partite!$K14&lt;&gt;"Giocata","",IF(AND(Pronostici!$I14&lt;&gt;"",Pronostici!$J14&lt;&gt;"",Pronostici!$I14=Partite!$G14,Pronostici!$J14=Partite!$H14),IF(AND($B14&gt;=Config!$D$17,COUNTIF($P14:$T14,$Q14)=1),Config!$D$9,Config!$D$6),IF(AND($K14&lt;&gt;"",$K14=Partite!$I14),IF(AND($B14&gt;=Config!$D$17,COUNTIF($J14:$N14,$K14)=1),Config!$D$10,Config!$D$7),Config!$D$8)))</f>
        <v/>
      </c>
      <c r="F14" s="27">
        <f>IF(Partite!$K14&lt;&gt;"Giocata","",IF(AND(Pronostici!$L14&lt;&gt;"",Pronostici!$M14&lt;&gt;"",Pronostici!$L14=Partite!$G14,Pronostici!$M14=Partite!$H14),IF(AND($B14&gt;=Config!$D$17,COUNTIF($P14:$T14,$R14)=1),Config!$D$9,Config!$D$6),IF(AND($L14&lt;&gt;"",$L14=Partite!$I14),IF(AND($B14&gt;=Config!$D$17,COUNTIF($J14:$N14,$L14)=1),Config!$D$10,Config!$D$7),Config!$D$8)))</f>
        <v/>
      </c>
      <c r="G14" s="27">
        <f>IF(Partite!$K14&lt;&gt;"Giocata","",IF(AND(Pronostici!$O14&lt;&gt;"",Pronostici!$P14&lt;&gt;"",Pronostici!$O14=Partite!$G14,Pronostici!$P14=Partite!$H14),IF(AND($B14&gt;=Config!$D$17,COUNTIF($P14:$T14,$S14)=1),Config!$D$9,Config!$D$6),IF(AND($M14&lt;&gt;"",$M14=Partite!$I14),IF(AND($B14&gt;=Config!$D$17,COUNTIF($J14:$N14,$M14)=1),Config!$D$10,Config!$D$7),Config!$D$8)))</f>
        <v/>
      </c>
      <c r="H14" s="27">
        <f>IF(Partite!$K14&lt;&gt;"Giocata","",IF(AND(Pronostici!$R14&lt;&gt;"",Pronostici!$S14&lt;&gt;"",Pronostici!$R14=Partite!$G14,Pronostici!$S14=Partite!$H14),IF(AND($B14&gt;=Config!$D$17,COUNTIF($P14:$T14,$T14)=1),Config!$D$9,Config!$D$6),IF(AND($N14&lt;&gt;"",$N14=Partite!$I14),IF(AND($B14&gt;=Config!$D$17,COUNTIF($J14:$N14,$N14)=1),Config!$D$10,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c r="P14" s="63">
        <f>IF(OR(Pronostici!$F14="",Pronostici!$G14=""),"",Pronostici!$F14&amp;" a "&amp;Pronostici!$G14)</f>
        <v/>
      </c>
      <c r="Q14" s="63">
        <f>IF(OR(Pronostici!$I14="",Pronostici!$J14=""),"",Pronostici!$I14&amp;" a "&amp;Pronostici!$J14)</f>
        <v/>
      </c>
      <c r="R14" s="63">
        <f>IF(OR(Pronostici!$L14="",Pronostici!$M14=""),"",Pronostici!$L14&amp;" a "&amp;Pronostici!$M14)</f>
        <v/>
      </c>
      <c r="S14" s="63">
        <f>IF(OR(Pronostici!$O14="",Pronostici!$P14=""),"",Pronostici!$O14&amp;" a "&amp;Pronostici!$P14)</f>
        <v/>
      </c>
      <c r="T14" s="63">
        <f>IF(OR(Pronostici!$R14="",Pronostici!$S14=""),"",Pronostici!$R14&amp;" a "&amp;Pronostici!$S14)</f>
        <v/>
      </c>
    </row>
    <row r="15">
      <c r="A15" s="74">
        <f>Partite!$A15</f>
        <v/>
      </c>
      <c r="B15" s="30">
        <f>Partite!$B15</f>
        <v/>
      </c>
      <c r="C15" s="47">
        <f>IF(Partite!$E15="","",Partite!$E15&amp;"  -  "&amp;Partite!$F15)</f>
        <v/>
      </c>
      <c r="D15" s="27">
        <f>IF(Partite!$K15&lt;&gt;"Giocata","",IF(AND(Pronostici!$F15&lt;&gt;"",Pronostici!$G15&lt;&gt;"",Pronostici!$F15=Partite!$G15,Pronostici!$G15=Partite!$H15),IF(AND($B15&gt;=Config!$D$17,COUNTIF($P15:$T15,$P15)=1),Config!$D$9,Config!$D$6),IF(AND($J15&lt;&gt;"",$J15=Partite!$I15),IF(AND($B15&gt;=Config!$D$17,COUNTIF($J15:$N15,$J15)=1),Config!$D$10,Config!$D$7),Config!$D$8)))</f>
        <v/>
      </c>
      <c r="E15" s="27">
        <f>IF(Partite!$K15&lt;&gt;"Giocata","",IF(AND(Pronostici!$I15&lt;&gt;"",Pronostici!$J15&lt;&gt;"",Pronostici!$I15=Partite!$G15,Pronostici!$J15=Partite!$H15),IF(AND($B15&gt;=Config!$D$17,COUNTIF($P15:$T15,$Q15)=1),Config!$D$9,Config!$D$6),IF(AND($K15&lt;&gt;"",$K15=Partite!$I15),IF(AND($B15&gt;=Config!$D$17,COUNTIF($J15:$N15,$K15)=1),Config!$D$10,Config!$D$7),Config!$D$8)))</f>
        <v/>
      </c>
      <c r="F15" s="27">
        <f>IF(Partite!$K15&lt;&gt;"Giocata","",IF(AND(Pronostici!$L15&lt;&gt;"",Pronostici!$M15&lt;&gt;"",Pronostici!$L15=Partite!$G15,Pronostici!$M15=Partite!$H15),IF(AND($B15&gt;=Config!$D$17,COUNTIF($P15:$T15,$R15)=1),Config!$D$9,Config!$D$6),IF(AND($L15&lt;&gt;"",$L15=Partite!$I15),IF(AND($B15&gt;=Config!$D$17,COUNTIF($J15:$N15,$L15)=1),Config!$D$10,Config!$D$7),Config!$D$8)))</f>
        <v/>
      </c>
      <c r="G15" s="27">
        <f>IF(Partite!$K15&lt;&gt;"Giocata","",IF(AND(Pronostici!$O15&lt;&gt;"",Pronostici!$P15&lt;&gt;"",Pronostici!$O15=Partite!$G15,Pronostici!$P15=Partite!$H15),IF(AND($B15&gt;=Config!$D$17,COUNTIF($P15:$T15,$S15)=1),Config!$D$9,Config!$D$6),IF(AND($M15&lt;&gt;"",$M15=Partite!$I15),IF(AND($B15&gt;=Config!$D$17,COUNTIF($J15:$N15,$M15)=1),Config!$D$10,Config!$D$7),Config!$D$8)))</f>
        <v/>
      </c>
      <c r="H15" s="27">
        <f>IF(Partite!$K15&lt;&gt;"Giocata","",IF(AND(Pronostici!$R15&lt;&gt;"",Pronostici!$S15&lt;&gt;"",Pronostici!$R15=Partite!$G15,Pronostici!$S15=Partite!$H15),IF(AND($B15&gt;=Config!$D$17,COUNTIF($P15:$T15,$T15)=1),Config!$D$9,Config!$D$6),IF(AND($N15&lt;&gt;"",$N15=Partite!$I15),IF(AND($B15&gt;=Config!$D$17,COUNTIF($J15:$N15,$N15)=1),Config!$D$10,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c r="P15" s="63">
        <f>IF(OR(Pronostici!$F15="",Pronostici!$G15=""),"",Pronostici!$F15&amp;" a "&amp;Pronostici!$G15)</f>
        <v/>
      </c>
      <c r="Q15" s="63">
        <f>IF(OR(Pronostici!$I15="",Pronostici!$J15=""),"",Pronostici!$I15&amp;" a "&amp;Pronostici!$J15)</f>
        <v/>
      </c>
      <c r="R15" s="63">
        <f>IF(OR(Pronostici!$L15="",Pronostici!$M15=""),"",Pronostici!$L15&amp;" a "&amp;Pronostici!$M15)</f>
        <v/>
      </c>
      <c r="S15" s="63">
        <f>IF(OR(Pronostici!$O15="",Pronostici!$P15=""),"",Pronostici!$O15&amp;" a "&amp;Pronostici!$P15)</f>
        <v/>
      </c>
      <c r="T15" s="63">
        <f>IF(OR(Pronostici!$R15="",Pronostici!$S15=""),"",Pronostici!$R15&amp;" a "&amp;Pronostici!$S15)</f>
        <v/>
      </c>
    </row>
    <row r="16">
      <c r="A16" s="74">
        <f>Partite!$A16</f>
        <v/>
      </c>
      <c r="B16" s="30">
        <f>Partite!$B16</f>
        <v/>
      </c>
      <c r="C16" s="47">
        <f>IF(Partite!$E16="","",Partite!$E16&amp;"  -  "&amp;Partite!$F16)</f>
        <v/>
      </c>
      <c r="D16" s="27">
        <f>IF(Partite!$K16&lt;&gt;"Giocata","",IF(AND(Pronostici!$F16&lt;&gt;"",Pronostici!$G16&lt;&gt;"",Pronostici!$F16=Partite!$G16,Pronostici!$G16=Partite!$H16),IF(AND($B16&gt;=Config!$D$17,COUNTIF($P16:$T16,$P16)=1),Config!$D$9,Config!$D$6),IF(AND($J16&lt;&gt;"",$J16=Partite!$I16),IF(AND($B16&gt;=Config!$D$17,COUNTIF($J16:$N16,$J16)=1),Config!$D$10,Config!$D$7),Config!$D$8)))</f>
        <v/>
      </c>
      <c r="E16" s="27">
        <f>IF(Partite!$K16&lt;&gt;"Giocata","",IF(AND(Pronostici!$I16&lt;&gt;"",Pronostici!$J16&lt;&gt;"",Pronostici!$I16=Partite!$G16,Pronostici!$J16=Partite!$H16),IF(AND($B16&gt;=Config!$D$17,COUNTIF($P16:$T16,$Q16)=1),Config!$D$9,Config!$D$6),IF(AND($K16&lt;&gt;"",$K16=Partite!$I16),IF(AND($B16&gt;=Config!$D$17,COUNTIF($J16:$N16,$K16)=1),Config!$D$10,Config!$D$7),Config!$D$8)))</f>
        <v/>
      </c>
      <c r="F16" s="27">
        <f>IF(Partite!$K16&lt;&gt;"Giocata","",IF(AND(Pronostici!$L16&lt;&gt;"",Pronostici!$M16&lt;&gt;"",Pronostici!$L16=Partite!$G16,Pronostici!$M16=Partite!$H16),IF(AND($B16&gt;=Config!$D$17,COUNTIF($P16:$T16,$R16)=1),Config!$D$9,Config!$D$6),IF(AND($L16&lt;&gt;"",$L16=Partite!$I16),IF(AND($B16&gt;=Config!$D$17,COUNTIF($J16:$N16,$L16)=1),Config!$D$10,Config!$D$7),Config!$D$8)))</f>
        <v/>
      </c>
      <c r="G16" s="27">
        <f>IF(Partite!$K16&lt;&gt;"Giocata","",IF(AND(Pronostici!$O16&lt;&gt;"",Pronostici!$P16&lt;&gt;"",Pronostici!$O16=Partite!$G16,Pronostici!$P16=Partite!$H16),IF(AND($B16&gt;=Config!$D$17,COUNTIF($P16:$T16,$S16)=1),Config!$D$9,Config!$D$6),IF(AND($M16&lt;&gt;"",$M16=Partite!$I16),IF(AND($B16&gt;=Config!$D$17,COUNTIF($J16:$N16,$M16)=1),Config!$D$10,Config!$D$7),Config!$D$8)))</f>
        <v/>
      </c>
      <c r="H16" s="27">
        <f>IF(Partite!$K16&lt;&gt;"Giocata","",IF(AND(Pronostici!$R16&lt;&gt;"",Pronostici!$S16&lt;&gt;"",Pronostici!$R16=Partite!$G16,Pronostici!$S16=Partite!$H16),IF(AND($B16&gt;=Config!$D$17,COUNTIF($P16:$T16,$T16)=1),Config!$D$9,Config!$D$6),IF(AND($N16&lt;&gt;"",$N16=Partite!$I16),IF(AND($B16&gt;=Config!$D$17,COUNTIF($J16:$N16,$N16)=1),Config!$D$10,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c r="P16" s="63">
        <f>IF(OR(Pronostici!$F16="",Pronostici!$G16=""),"",Pronostici!$F16&amp;" a "&amp;Pronostici!$G16)</f>
        <v/>
      </c>
      <c r="Q16" s="63">
        <f>IF(OR(Pronostici!$I16="",Pronostici!$J16=""),"",Pronostici!$I16&amp;" a "&amp;Pronostici!$J16)</f>
        <v/>
      </c>
      <c r="R16" s="63">
        <f>IF(OR(Pronostici!$L16="",Pronostici!$M16=""),"",Pronostici!$L16&amp;" a "&amp;Pronostici!$M16)</f>
        <v/>
      </c>
      <c r="S16" s="63">
        <f>IF(OR(Pronostici!$O16="",Pronostici!$P16=""),"",Pronostici!$O16&amp;" a "&amp;Pronostici!$P16)</f>
        <v/>
      </c>
      <c r="T16" s="63">
        <f>IF(OR(Pronostici!$R16="",Pronostici!$S16=""),"",Pronostici!$R16&amp;" a "&amp;Pronostici!$S16)</f>
        <v/>
      </c>
    </row>
    <row r="17">
      <c r="A17" s="74">
        <f>Partite!$A17</f>
        <v/>
      </c>
      <c r="B17" s="30">
        <f>Partite!$B17</f>
        <v/>
      </c>
      <c r="C17" s="47">
        <f>IF(Partite!$E17="","",Partite!$E17&amp;"  -  "&amp;Partite!$F17)</f>
        <v/>
      </c>
      <c r="D17" s="27">
        <f>IF(Partite!$K17&lt;&gt;"Giocata","",IF(AND(Pronostici!$F17&lt;&gt;"",Pronostici!$G17&lt;&gt;"",Pronostici!$F17=Partite!$G17,Pronostici!$G17=Partite!$H17),IF(AND($B17&gt;=Config!$D$17,COUNTIF($P17:$T17,$P17)=1),Config!$D$9,Config!$D$6),IF(AND($J17&lt;&gt;"",$J17=Partite!$I17),IF(AND($B17&gt;=Config!$D$17,COUNTIF($J17:$N17,$J17)=1),Config!$D$10,Config!$D$7),Config!$D$8)))</f>
        <v/>
      </c>
      <c r="E17" s="27">
        <f>IF(Partite!$K17&lt;&gt;"Giocata","",IF(AND(Pronostici!$I17&lt;&gt;"",Pronostici!$J17&lt;&gt;"",Pronostici!$I17=Partite!$G17,Pronostici!$J17=Partite!$H17),IF(AND($B17&gt;=Config!$D$17,COUNTIF($P17:$T17,$Q17)=1),Config!$D$9,Config!$D$6),IF(AND($K17&lt;&gt;"",$K17=Partite!$I17),IF(AND($B17&gt;=Config!$D$17,COUNTIF($J17:$N17,$K17)=1),Config!$D$10,Config!$D$7),Config!$D$8)))</f>
        <v/>
      </c>
      <c r="F17" s="27">
        <f>IF(Partite!$K17&lt;&gt;"Giocata","",IF(AND(Pronostici!$L17&lt;&gt;"",Pronostici!$M17&lt;&gt;"",Pronostici!$L17=Partite!$G17,Pronostici!$M17=Partite!$H17),IF(AND($B17&gt;=Config!$D$17,COUNTIF($P17:$T17,$R17)=1),Config!$D$9,Config!$D$6),IF(AND($L17&lt;&gt;"",$L17=Partite!$I17),IF(AND($B17&gt;=Config!$D$17,COUNTIF($J17:$N17,$L17)=1),Config!$D$10,Config!$D$7),Config!$D$8)))</f>
        <v/>
      </c>
      <c r="G17" s="27">
        <f>IF(Partite!$K17&lt;&gt;"Giocata","",IF(AND(Pronostici!$O17&lt;&gt;"",Pronostici!$P17&lt;&gt;"",Pronostici!$O17=Partite!$G17,Pronostici!$P17=Partite!$H17),IF(AND($B17&gt;=Config!$D$17,COUNTIF($P17:$T17,$S17)=1),Config!$D$9,Config!$D$6),IF(AND($M17&lt;&gt;"",$M17=Partite!$I17),IF(AND($B17&gt;=Config!$D$17,COUNTIF($J17:$N17,$M17)=1),Config!$D$10,Config!$D$7),Config!$D$8)))</f>
        <v/>
      </c>
      <c r="H17" s="27">
        <f>IF(Partite!$K17&lt;&gt;"Giocata","",IF(AND(Pronostici!$R17&lt;&gt;"",Pronostici!$S17&lt;&gt;"",Pronostici!$R17=Partite!$G17,Pronostici!$S17=Partite!$H17),IF(AND($B17&gt;=Config!$D$17,COUNTIF($P17:$T17,$T17)=1),Config!$D$9,Config!$D$6),IF(AND($N17&lt;&gt;"",$N17=Partite!$I17),IF(AND($B17&gt;=Config!$D$17,COUNTIF($J17:$N17,$N17)=1),Config!$D$10,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c r="P17" s="63">
        <f>IF(OR(Pronostici!$F17="",Pronostici!$G17=""),"",Pronostici!$F17&amp;" a "&amp;Pronostici!$G17)</f>
        <v/>
      </c>
      <c r="Q17" s="63">
        <f>IF(OR(Pronostici!$I17="",Pronostici!$J17=""),"",Pronostici!$I17&amp;" a "&amp;Pronostici!$J17)</f>
        <v/>
      </c>
      <c r="R17" s="63">
        <f>IF(OR(Pronostici!$L17="",Pronostici!$M17=""),"",Pronostici!$L17&amp;" a "&amp;Pronostici!$M17)</f>
        <v/>
      </c>
      <c r="S17" s="63">
        <f>IF(OR(Pronostici!$O17="",Pronostici!$P17=""),"",Pronostici!$O17&amp;" a "&amp;Pronostici!$P17)</f>
        <v/>
      </c>
      <c r="T17" s="63">
        <f>IF(OR(Pronostici!$R17="",Pronostici!$S17=""),"",Pronostici!$R17&amp;" a "&amp;Pronostici!$S17)</f>
        <v/>
      </c>
    </row>
    <row r="18">
      <c r="A18" s="74">
        <f>Partite!$A18</f>
        <v/>
      </c>
      <c r="B18" s="30">
        <f>Partite!$B18</f>
        <v/>
      </c>
      <c r="C18" s="47">
        <f>IF(Partite!$E18="","",Partite!$E18&amp;"  -  "&amp;Partite!$F18)</f>
        <v/>
      </c>
      <c r="D18" s="27">
        <f>IF(Partite!$K18&lt;&gt;"Giocata","",IF(AND(Pronostici!$F18&lt;&gt;"",Pronostici!$G18&lt;&gt;"",Pronostici!$F18=Partite!$G18,Pronostici!$G18=Partite!$H18),IF(AND($B18&gt;=Config!$D$17,COUNTIF($P18:$T18,$P18)=1),Config!$D$9,Config!$D$6),IF(AND($J18&lt;&gt;"",$J18=Partite!$I18),IF(AND($B18&gt;=Config!$D$17,COUNTIF($J18:$N18,$J18)=1),Config!$D$10,Config!$D$7),Config!$D$8)))</f>
        <v/>
      </c>
      <c r="E18" s="27">
        <f>IF(Partite!$K18&lt;&gt;"Giocata","",IF(AND(Pronostici!$I18&lt;&gt;"",Pronostici!$J18&lt;&gt;"",Pronostici!$I18=Partite!$G18,Pronostici!$J18=Partite!$H18),IF(AND($B18&gt;=Config!$D$17,COUNTIF($P18:$T18,$Q18)=1),Config!$D$9,Config!$D$6),IF(AND($K18&lt;&gt;"",$K18=Partite!$I18),IF(AND($B18&gt;=Config!$D$17,COUNTIF($J18:$N18,$K18)=1),Config!$D$10,Config!$D$7),Config!$D$8)))</f>
        <v/>
      </c>
      <c r="F18" s="27">
        <f>IF(Partite!$K18&lt;&gt;"Giocata","",IF(AND(Pronostici!$L18&lt;&gt;"",Pronostici!$M18&lt;&gt;"",Pronostici!$L18=Partite!$G18,Pronostici!$M18=Partite!$H18),IF(AND($B18&gt;=Config!$D$17,COUNTIF($P18:$T18,$R18)=1),Config!$D$9,Config!$D$6),IF(AND($L18&lt;&gt;"",$L18=Partite!$I18),IF(AND($B18&gt;=Config!$D$17,COUNTIF($J18:$N18,$L18)=1),Config!$D$10,Config!$D$7),Config!$D$8)))</f>
        <v/>
      </c>
      <c r="G18" s="27">
        <f>IF(Partite!$K18&lt;&gt;"Giocata","",IF(AND(Pronostici!$O18&lt;&gt;"",Pronostici!$P18&lt;&gt;"",Pronostici!$O18=Partite!$G18,Pronostici!$P18=Partite!$H18),IF(AND($B18&gt;=Config!$D$17,COUNTIF($P18:$T18,$S18)=1),Config!$D$9,Config!$D$6),IF(AND($M18&lt;&gt;"",$M18=Partite!$I18),IF(AND($B18&gt;=Config!$D$17,COUNTIF($J18:$N18,$M18)=1),Config!$D$10,Config!$D$7),Config!$D$8)))</f>
        <v/>
      </c>
      <c r="H18" s="27">
        <f>IF(Partite!$K18&lt;&gt;"Giocata","",IF(AND(Pronostici!$R18&lt;&gt;"",Pronostici!$S18&lt;&gt;"",Pronostici!$R18=Partite!$G18,Pronostici!$S18=Partite!$H18),IF(AND($B18&gt;=Config!$D$17,COUNTIF($P18:$T18,$T18)=1),Config!$D$9,Config!$D$6),IF(AND($N18&lt;&gt;"",$N18=Partite!$I18),IF(AND($B18&gt;=Config!$D$17,COUNTIF($J18:$N18,$N18)=1),Config!$D$10,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c r="P18" s="63">
        <f>IF(OR(Pronostici!$F18="",Pronostici!$G18=""),"",Pronostici!$F18&amp;" a "&amp;Pronostici!$G18)</f>
        <v/>
      </c>
      <c r="Q18" s="63">
        <f>IF(OR(Pronostici!$I18="",Pronostici!$J18=""),"",Pronostici!$I18&amp;" a "&amp;Pronostici!$J18)</f>
        <v/>
      </c>
      <c r="R18" s="63">
        <f>IF(OR(Pronostici!$L18="",Pronostici!$M18=""),"",Pronostici!$L18&amp;" a "&amp;Pronostici!$M18)</f>
        <v/>
      </c>
      <c r="S18" s="63">
        <f>IF(OR(Pronostici!$O18="",Pronostici!$P18=""),"",Pronostici!$O18&amp;" a "&amp;Pronostici!$P18)</f>
        <v/>
      </c>
      <c r="T18" s="63">
        <f>IF(OR(Pronostici!$R18="",Pronostici!$S18=""),"",Pronostici!$R18&amp;" a "&amp;Pronostici!$S18)</f>
        <v/>
      </c>
    </row>
    <row r="19">
      <c r="A19" s="74">
        <f>Partite!$A19</f>
        <v/>
      </c>
      <c r="B19" s="30">
        <f>Partite!$B19</f>
        <v/>
      </c>
      <c r="C19" s="47">
        <f>IF(Partite!$E19="","",Partite!$E19&amp;"  -  "&amp;Partite!$F19)</f>
        <v/>
      </c>
      <c r="D19" s="27">
        <f>IF(Partite!$K19&lt;&gt;"Giocata","",IF(AND(Pronostici!$F19&lt;&gt;"",Pronostici!$G19&lt;&gt;"",Pronostici!$F19=Partite!$G19,Pronostici!$G19=Partite!$H19),IF(AND($B19&gt;=Config!$D$17,COUNTIF($P19:$T19,$P19)=1),Config!$D$9,Config!$D$6),IF(AND($J19&lt;&gt;"",$J19=Partite!$I19),IF(AND($B19&gt;=Config!$D$17,COUNTIF($J19:$N19,$J19)=1),Config!$D$10,Config!$D$7),Config!$D$8)))</f>
        <v/>
      </c>
      <c r="E19" s="27">
        <f>IF(Partite!$K19&lt;&gt;"Giocata","",IF(AND(Pronostici!$I19&lt;&gt;"",Pronostici!$J19&lt;&gt;"",Pronostici!$I19=Partite!$G19,Pronostici!$J19=Partite!$H19),IF(AND($B19&gt;=Config!$D$17,COUNTIF($P19:$T19,$Q19)=1),Config!$D$9,Config!$D$6),IF(AND($K19&lt;&gt;"",$K19=Partite!$I19),IF(AND($B19&gt;=Config!$D$17,COUNTIF($J19:$N19,$K19)=1),Config!$D$10,Config!$D$7),Config!$D$8)))</f>
        <v/>
      </c>
      <c r="F19" s="27">
        <f>IF(Partite!$K19&lt;&gt;"Giocata","",IF(AND(Pronostici!$L19&lt;&gt;"",Pronostici!$M19&lt;&gt;"",Pronostici!$L19=Partite!$G19,Pronostici!$M19=Partite!$H19),IF(AND($B19&gt;=Config!$D$17,COUNTIF($P19:$T19,$R19)=1),Config!$D$9,Config!$D$6),IF(AND($L19&lt;&gt;"",$L19=Partite!$I19),IF(AND($B19&gt;=Config!$D$17,COUNTIF($J19:$N19,$L19)=1),Config!$D$10,Config!$D$7),Config!$D$8)))</f>
        <v/>
      </c>
      <c r="G19" s="27">
        <f>IF(Partite!$K19&lt;&gt;"Giocata","",IF(AND(Pronostici!$O19&lt;&gt;"",Pronostici!$P19&lt;&gt;"",Pronostici!$O19=Partite!$G19,Pronostici!$P19=Partite!$H19),IF(AND($B19&gt;=Config!$D$17,COUNTIF($P19:$T19,$S19)=1),Config!$D$9,Config!$D$6),IF(AND($M19&lt;&gt;"",$M19=Partite!$I19),IF(AND($B19&gt;=Config!$D$17,COUNTIF($J19:$N19,$M19)=1),Config!$D$10,Config!$D$7),Config!$D$8)))</f>
        <v/>
      </c>
      <c r="H19" s="27">
        <f>IF(Partite!$K19&lt;&gt;"Giocata","",IF(AND(Pronostici!$R19&lt;&gt;"",Pronostici!$S19&lt;&gt;"",Pronostici!$R19=Partite!$G19,Pronostici!$S19=Partite!$H19),IF(AND($B19&gt;=Config!$D$17,COUNTIF($P19:$T19,$T19)=1),Config!$D$9,Config!$D$6),IF(AND($N19&lt;&gt;"",$N19=Partite!$I19),IF(AND($B19&gt;=Config!$D$17,COUNTIF($J19:$N19,$N19)=1),Config!$D$10,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c r="P19" s="63">
        <f>IF(OR(Pronostici!$F19="",Pronostici!$G19=""),"",Pronostici!$F19&amp;" a "&amp;Pronostici!$G19)</f>
        <v/>
      </c>
      <c r="Q19" s="63">
        <f>IF(OR(Pronostici!$I19="",Pronostici!$J19=""),"",Pronostici!$I19&amp;" a "&amp;Pronostici!$J19)</f>
        <v/>
      </c>
      <c r="R19" s="63">
        <f>IF(OR(Pronostici!$L19="",Pronostici!$M19=""),"",Pronostici!$L19&amp;" a "&amp;Pronostici!$M19)</f>
        <v/>
      </c>
      <c r="S19" s="63">
        <f>IF(OR(Pronostici!$O19="",Pronostici!$P19=""),"",Pronostici!$O19&amp;" a "&amp;Pronostici!$P19)</f>
        <v/>
      </c>
      <c r="T19" s="63">
        <f>IF(OR(Pronostici!$R19="",Pronostici!$S19=""),"",Pronostici!$R19&amp;" a "&amp;Pronostici!$S19)</f>
        <v/>
      </c>
    </row>
    <row r="20">
      <c r="A20" s="74">
        <f>Partite!$A20</f>
        <v/>
      </c>
      <c r="B20" s="30">
        <f>Partite!$B20</f>
        <v/>
      </c>
      <c r="C20" s="47">
        <f>IF(Partite!$E20="","",Partite!$E20&amp;"  -  "&amp;Partite!$F20)</f>
        <v/>
      </c>
      <c r="D20" s="27">
        <f>IF(Partite!$K20&lt;&gt;"Giocata","",IF(AND(Pronostici!$F20&lt;&gt;"",Pronostici!$G20&lt;&gt;"",Pronostici!$F20=Partite!$G20,Pronostici!$G20=Partite!$H20),IF(AND($B20&gt;=Config!$D$17,COUNTIF($P20:$T20,$P20)=1),Config!$D$9,Config!$D$6),IF(AND($J20&lt;&gt;"",$J20=Partite!$I20),IF(AND($B20&gt;=Config!$D$17,COUNTIF($J20:$N20,$J20)=1),Config!$D$10,Config!$D$7),Config!$D$8)))</f>
        <v/>
      </c>
      <c r="E20" s="27">
        <f>IF(Partite!$K20&lt;&gt;"Giocata","",IF(AND(Pronostici!$I20&lt;&gt;"",Pronostici!$J20&lt;&gt;"",Pronostici!$I20=Partite!$G20,Pronostici!$J20=Partite!$H20),IF(AND($B20&gt;=Config!$D$17,COUNTIF($P20:$T20,$Q20)=1),Config!$D$9,Config!$D$6),IF(AND($K20&lt;&gt;"",$K20=Partite!$I20),IF(AND($B20&gt;=Config!$D$17,COUNTIF($J20:$N20,$K20)=1),Config!$D$10,Config!$D$7),Config!$D$8)))</f>
        <v/>
      </c>
      <c r="F20" s="27">
        <f>IF(Partite!$K20&lt;&gt;"Giocata","",IF(AND(Pronostici!$L20&lt;&gt;"",Pronostici!$M20&lt;&gt;"",Pronostici!$L20=Partite!$G20,Pronostici!$M20=Partite!$H20),IF(AND($B20&gt;=Config!$D$17,COUNTIF($P20:$T20,$R20)=1),Config!$D$9,Config!$D$6),IF(AND($L20&lt;&gt;"",$L20=Partite!$I20),IF(AND($B20&gt;=Config!$D$17,COUNTIF($J20:$N20,$L20)=1),Config!$D$10,Config!$D$7),Config!$D$8)))</f>
        <v/>
      </c>
      <c r="G20" s="27">
        <f>IF(Partite!$K20&lt;&gt;"Giocata","",IF(AND(Pronostici!$O20&lt;&gt;"",Pronostici!$P20&lt;&gt;"",Pronostici!$O20=Partite!$G20,Pronostici!$P20=Partite!$H20),IF(AND($B20&gt;=Config!$D$17,COUNTIF($P20:$T20,$S20)=1),Config!$D$9,Config!$D$6),IF(AND($M20&lt;&gt;"",$M20=Partite!$I20),IF(AND($B20&gt;=Config!$D$17,COUNTIF($J20:$N20,$M20)=1),Config!$D$10,Config!$D$7),Config!$D$8)))</f>
        <v/>
      </c>
      <c r="H20" s="27">
        <f>IF(Partite!$K20&lt;&gt;"Giocata","",IF(AND(Pronostici!$R20&lt;&gt;"",Pronostici!$S20&lt;&gt;"",Pronostici!$R20=Partite!$G20,Pronostici!$S20=Partite!$H20),IF(AND($B20&gt;=Config!$D$17,COUNTIF($P20:$T20,$T20)=1),Config!$D$9,Config!$D$6),IF(AND($N20&lt;&gt;"",$N20=Partite!$I20),IF(AND($B20&gt;=Config!$D$17,COUNTIF($J20:$N20,$N20)=1),Config!$D$10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c r="P20" s="63">
        <f>IF(OR(Pronostici!$F20="",Pronostici!$G20=""),"",Pronostici!$F20&amp;" a "&amp;Pronostici!$G20)</f>
        <v/>
      </c>
      <c r="Q20" s="63">
        <f>IF(OR(Pronostici!$I20="",Pronostici!$J20=""),"",Pronostici!$I20&amp;" a "&amp;Pronostici!$J20)</f>
        <v/>
      </c>
      <c r="R20" s="63">
        <f>IF(OR(Pronostici!$L20="",Pronostici!$M20=""),"",Pronostici!$L20&amp;" a "&amp;Pronostici!$M20)</f>
        <v/>
      </c>
      <c r="S20" s="63">
        <f>IF(OR(Pronostici!$O20="",Pronostici!$P20=""),"",Pronostici!$O20&amp;" a "&amp;Pronostici!$P20)</f>
        <v/>
      </c>
      <c r="T20" s="63">
        <f>IF(OR(Pronostici!$R20="",Pronostici!$S20=""),"",Pronostici!$R20&amp;" a "&amp;Pronostici!$S20)</f>
        <v/>
      </c>
    </row>
    <row r="21">
      <c r="A21" s="74">
        <f>Partite!$A21</f>
        <v/>
      </c>
      <c r="B21" s="30">
        <f>Partite!$B21</f>
        <v/>
      </c>
      <c r="C21" s="47">
        <f>IF(Partite!$E21="","",Partite!$E21&amp;"  -  "&amp;Partite!$F21)</f>
        <v/>
      </c>
      <c r="D21" s="27">
        <f>IF(Partite!$K21&lt;&gt;"Giocata","",IF(AND(Pronostici!$F21&lt;&gt;"",Pronostici!$G21&lt;&gt;"",Pronostici!$F21=Partite!$G21,Pronostici!$G21=Partite!$H21),IF(AND($B21&gt;=Config!$D$17,COUNTIF($P21:$T21,$P21)=1),Config!$D$9,Config!$D$6),IF(AND($J21&lt;&gt;"",$J21=Partite!$I21),IF(AND($B21&gt;=Config!$D$17,COUNTIF($J21:$N21,$J21)=1),Config!$D$10,Config!$D$7),Config!$D$8)))</f>
        <v/>
      </c>
      <c r="E21" s="27">
        <f>IF(Partite!$K21&lt;&gt;"Giocata","",IF(AND(Pronostici!$I21&lt;&gt;"",Pronostici!$J21&lt;&gt;"",Pronostici!$I21=Partite!$G21,Pronostici!$J21=Partite!$H21),IF(AND($B21&gt;=Config!$D$17,COUNTIF($P21:$T21,$Q21)=1),Config!$D$9,Config!$D$6),IF(AND($K21&lt;&gt;"",$K21=Partite!$I21),IF(AND($B21&gt;=Config!$D$17,COUNTIF($J21:$N21,$K21)=1),Config!$D$10,Config!$D$7),Config!$D$8)))</f>
        <v/>
      </c>
      <c r="F21" s="27">
        <f>IF(Partite!$K21&lt;&gt;"Giocata","",IF(AND(Pronostici!$L21&lt;&gt;"",Pronostici!$M21&lt;&gt;"",Pronostici!$L21=Partite!$G21,Pronostici!$M21=Partite!$H21),IF(AND($B21&gt;=Config!$D$17,COUNTIF($P21:$T21,$R21)=1),Config!$D$9,Config!$D$6),IF(AND($L21&lt;&gt;"",$L21=Partite!$I21),IF(AND($B21&gt;=Config!$D$17,COUNTIF($J21:$N21,$L21)=1),Config!$D$10,Config!$D$7),Config!$D$8)))</f>
        <v/>
      </c>
      <c r="G21" s="27">
        <f>IF(Partite!$K21&lt;&gt;"Giocata","",IF(AND(Pronostici!$O21&lt;&gt;"",Pronostici!$P21&lt;&gt;"",Pronostici!$O21=Partite!$G21,Pronostici!$P21=Partite!$H21),IF(AND($B21&gt;=Config!$D$17,COUNTIF($P21:$T21,$S21)=1),Config!$D$9,Config!$D$6),IF(AND($M21&lt;&gt;"",$M21=Partite!$I21),IF(AND($B21&gt;=Config!$D$17,COUNTIF($J21:$N21,$M21)=1),Config!$D$10,Config!$D$7),Config!$D$8)))</f>
        <v/>
      </c>
      <c r="H21" s="27">
        <f>IF(Partite!$K21&lt;&gt;"Giocata","",IF(AND(Pronostici!$R21&lt;&gt;"",Pronostici!$S21&lt;&gt;"",Pronostici!$R21=Partite!$G21,Pronostici!$S21=Partite!$H21),IF(AND($B21&gt;=Config!$D$17,COUNTIF($P21:$T21,$T21)=1),Config!$D$9,Config!$D$6),IF(AND($N21&lt;&gt;"",$N21=Partite!$I21),IF(AND($B21&gt;=Config!$D$17,COUNTIF($J21:$N21,$N21)=1),Config!$D$10,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c r="P21" s="63">
        <f>IF(OR(Pronostici!$F21="",Pronostici!$G21=""),"",Pronostici!$F21&amp;" a "&amp;Pronostici!$G21)</f>
        <v/>
      </c>
      <c r="Q21" s="63">
        <f>IF(OR(Pronostici!$I21="",Pronostici!$J21=""),"",Pronostici!$I21&amp;" a "&amp;Pronostici!$J21)</f>
        <v/>
      </c>
      <c r="R21" s="63">
        <f>IF(OR(Pronostici!$L21="",Pronostici!$M21=""),"",Pronostici!$L21&amp;" a "&amp;Pronostici!$M21)</f>
        <v/>
      </c>
      <c r="S21" s="63">
        <f>IF(OR(Pronostici!$O21="",Pronostici!$P21=""),"",Pronostici!$O21&amp;" a "&amp;Pronostici!$P21)</f>
        <v/>
      </c>
      <c r="T21" s="63">
        <f>IF(OR(Pronostici!$R21="",Pronostici!$S21=""),"",Pronostici!$R21&amp;" a "&amp;Pronostici!$S21)</f>
        <v/>
      </c>
    </row>
    <row r="22">
      <c r="A22" s="74">
        <f>Partite!$A22</f>
        <v/>
      </c>
      <c r="B22" s="30">
        <f>Partite!$B22</f>
        <v/>
      </c>
      <c r="C22" s="47">
        <f>IF(Partite!$E22="","",Partite!$E22&amp;"  -  "&amp;Partite!$F22)</f>
        <v/>
      </c>
      <c r="D22" s="27">
        <f>IF(Partite!$K22&lt;&gt;"Giocata","",IF(AND(Pronostici!$F22&lt;&gt;"",Pronostici!$G22&lt;&gt;"",Pronostici!$F22=Partite!$G22,Pronostici!$G22=Partite!$H22),IF(AND($B22&gt;=Config!$D$17,COUNTIF($P22:$T22,$P22)=1),Config!$D$9,Config!$D$6),IF(AND($J22&lt;&gt;"",$J22=Partite!$I22),IF(AND($B22&gt;=Config!$D$17,COUNTIF($J22:$N22,$J22)=1),Config!$D$10,Config!$D$7),Config!$D$8)))</f>
        <v/>
      </c>
      <c r="E22" s="27">
        <f>IF(Partite!$K22&lt;&gt;"Giocata","",IF(AND(Pronostici!$I22&lt;&gt;"",Pronostici!$J22&lt;&gt;"",Pronostici!$I22=Partite!$G22,Pronostici!$J22=Partite!$H22),IF(AND($B22&gt;=Config!$D$17,COUNTIF($P22:$T22,$Q22)=1),Config!$D$9,Config!$D$6),IF(AND($K22&lt;&gt;"",$K22=Partite!$I22),IF(AND($B22&gt;=Config!$D$17,COUNTIF($J22:$N22,$K22)=1),Config!$D$10,Config!$D$7),Config!$D$8)))</f>
        <v/>
      </c>
      <c r="F22" s="27">
        <f>IF(Partite!$K22&lt;&gt;"Giocata","",IF(AND(Pronostici!$L22&lt;&gt;"",Pronostici!$M22&lt;&gt;"",Pronostici!$L22=Partite!$G22,Pronostici!$M22=Partite!$H22),IF(AND($B22&gt;=Config!$D$17,COUNTIF($P22:$T22,$R22)=1),Config!$D$9,Config!$D$6),IF(AND($L22&lt;&gt;"",$L22=Partite!$I22),IF(AND($B22&gt;=Config!$D$17,COUNTIF($J22:$N22,$L22)=1),Config!$D$10,Config!$D$7),Config!$D$8)))</f>
        <v/>
      </c>
      <c r="G22" s="27">
        <f>IF(Partite!$K22&lt;&gt;"Giocata","",IF(AND(Pronostici!$O22&lt;&gt;"",Pronostici!$P22&lt;&gt;"",Pronostici!$O22=Partite!$G22,Pronostici!$P22=Partite!$H22),IF(AND($B22&gt;=Config!$D$17,COUNTIF($P22:$T22,$S22)=1),Config!$D$9,Config!$D$6),IF(AND($M22&lt;&gt;"",$M22=Partite!$I22),IF(AND($B22&gt;=Config!$D$17,COUNTIF($J22:$N22,$M22)=1),Config!$D$10,Config!$D$7),Config!$D$8)))</f>
        <v/>
      </c>
      <c r="H22" s="27">
        <f>IF(Partite!$K22&lt;&gt;"Giocata","",IF(AND(Pronostici!$R22&lt;&gt;"",Pronostici!$S22&lt;&gt;"",Pronostici!$R22=Partite!$G22,Pronostici!$S22=Partite!$H22),IF(AND($B22&gt;=Config!$D$17,COUNTIF($P22:$T22,$T22)=1),Config!$D$9,Config!$D$6),IF(AND($N22&lt;&gt;"",$N22=Partite!$I22),IF(AND($B22&gt;=Config!$D$17,COUNTIF($J22:$N22,$N22)=1),Config!$D$10,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c r="P22" s="63">
        <f>IF(OR(Pronostici!$F22="",Pronostici!$G22=""),"",Pronostici!$F22&amp;" a "&amp;Pronostici!$G22)</f>
        <v/>
      </c>
      <c r="Q22" s="63">
        <f>IF(OR(Pronostici!$I22="",Pronostici!$J22=""),"",Pronostici!$I22&amp;" a "&amp;Pronostici!$J22)</f>
        <v/>
      </c>
      <c r="R22" s="63">
        <f>IF(OR(Pronostici!$L22="",Pronostici!$M22=""),"",Pronostici!$L22&amp;" a "&amp;Pronostici!$M22)</f>
        <v/>
      </c>
      <c r="S22" s="63">
        <f>IF(OR(Pronostici!$O22="",Pronostici!$P22=""),"",Pronostici!$O22&amp;" a "&amp;Pronostici!$P22)</f>
        <v/>
      </c>
      <c r="T22" s="63">
        <f>IF(OR(Pronostici!$R22="",Pronostici!$S22=""),"",Pronostici!$R22&amp;" a "&amp;Pronostici!$S22)</f>
        <v/>
      </c>
    </row>
    <row r="23">
      <c r="A23" s="69">
        <f>Partite!$A23</f>
        <v/>
      </c>
      <c r="B23" s="25">
        <f>Partite!$B23</f>
        <v/>
      </c>
      <c r="C23" s="43">
        <f>IF(Partite!$E23="","",Partite!$E23&amp;"  -  "&amp;Partite!$F23)</f>
        <v/>
      </c>
      <c r="D23" s="22">
        <f>IF(Partite!$K23&lt;&gt;"Giocata","",IF(AND(Pronostici!$F23&lt;&gt;"",Pronostici!$G23&lt;&gt;"",Pronostici!$F23=Partite!$G23,Pronostici!$G23=Partite!$H23),IF(AND($B23&gt;=Config!$D$17,COUNTIF($P23:$T23,$P23)=1),Config!$D$9,Config!$D$6),IF(AND($J23&lt;&gt;"",$J23=Partite!$I23),IF(AND($B23&gt;=Config!$D$17,COUNTIF($J23:$N23,$J23)=1),Config!$D$10,Config!$D$7),Config!$D$8)))</f>
        <v/>
      </c>
      <c r="E23" s="22">
        <f>IF(Partite!$K23&lt;&gt;"Giocata","",IF(AND(Pronostici!$I23&lt;&gt;"",Pronostici!$J23&lt;&gt;"",Pronostici!$I23=Partite!$G23,Pronostici!$J23=Partite!$H23),IF(AND($B23&gt;=Config!$D$17,COUNTIF($P23:$T23,$Q23)=1),Config!$D$9,Config!$D$6),IF(AND($K23&lt;&gt;"",$K23=Partite!$I23),IF(AND($B23&gt;=Config!$D$17,COUNTIF($J23:$N23,$K23)=1),Config!$D$10,Config!$D$7),Config!$D$8)))</f>
        <v/>
      </c>
      <c r="F23" s="22">
        <f>IF(Partite!$K23&lt;&gt;"Giocata","",IF(AND(Pronostici!$L23&lt;&gt;"",Pronostici!$M23&lt;&gt;"",Pronostici!$L23=Partite!$G23,Pronostici!$M23=Partite!$H23),IF(AND($B23&gt;=Config!$D$17,COUNTIF($P23:$T23,$R23)=1),Config!$D$9,Config!$D$6),IF(AND($L23&lt;&gt;"",$L23=Partite!$I23),IF(AND($B23&gt;=Config!$D$17,COUNTIF($J23:$N23,$L23)=1),Config!$D$10,Config!$D$7),Config!$D$8)))</f>
        <v/>
      </c>
      <c r="G23" s="22">
        <f>IF(Partite!$K23&lt;&gt;"Giocata","",IF(AND(Pronostici!$O23&lt;&gt;"",Pronostici!$P23&lt;&gt;"",Pronostici!$O23=Partite!$G23,Pronostici!$P23=Partite!$H23),IF(AND($B23&gt;=Config!$D$17,COUNTIF($P23:$T23,$S23)=1),Config!$D$9,Config!$D$6),IF(AND($M23&lt;&gt;"",$M23=Partite!$I23),IF(AND($B23&gt;=Config!$D$17,COUNTIF($J23:$N23,$M23)=1),Config!$D$10,Config!$D$7),Config!$D$8)))</f>
        <v/>
      </c>
      <c r="H23" s="22">
        <f>IF(Partite!$K23&lt;&gt;"Giocata","",IF(AND(Pronostici!$R23&lt;&gt;"",Pronostici!$S23&lt;&gt;"",Pronostici!$R23=Partite!$G23,Pronostici!$S23=Partite!$H23),IF(AND($B23&gt;=Config!$D$17,COUNTIF($P23:$T23,$T23)=1),Config!$D$9,Config!$D$6),IF(AND($N23&lt;&gt;"",$N23=Partite!$I23),IF(AND($B23&gt;=Config!$D$17,COUNTIF($J23:$N23,$N23)=1),Config!$D$10,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c r="P23" s="63">
        <f>IF(OR(Pronostici!$F23="",Pronostici!$G23=""),"",Pronostici!$F23&amp;" a "&amp;Pronostici!$G23)</f>
        <v/>
      </c>
      <c r="Q23" s="63">
        <f>IF(OR(Pronostici!$I23="",Pronostici!$J23=""),"",Pronostici!$I23&amp;" a "&amp;Pronostici!$J23)</f>
        <v/>
      </c>
      <c r="R23" s="63">
        <f>IF(OR(Pronostici!$L23="",Pronostici!$M23=""),"",Pronostici!$L23&amp;" a "&amp;Pronostici!$M23)</f>
        <v/>
      </c>
      <c r="S23" s="63">
        <f>IF(OR(Pronostici!$O23="",Pronostici!$P23=""),"",Pronostici!$O23&amp;" a "&amp;Pronostici!$P23)</f>
        <v/>
      </c>
      <c r="T23" s="63">
        <f>IF(OR(Pronostici!$R23="",Pronostici!$S23=""),"",Pronostici!$R23&amp;" a "&amp;Pronostici!$S23)</f>
        <v/>
      </c>
    </row>
    <row r="24">
      <c r="A24" s="69">
        <f>Partite!$A24</f>
        <v/>
      </c>
      <c r="B24" s="25">
        <f>Partite!$B24</f>
        <v/>
      </c>
      <c r="C24" s="43">
        <f>IF(Partite!$E24="","",Partite!$E24&amp;"  -  "&amp;Partite!$F24)</f>
        <v/>
      </c>
      <c r="D24" s="22">
        <f>IF(Partite!$K24&lt;&gt;"Giocata","",IF(AND(Pronostici!$F24&lt;&gt;"",Pronostici!$G24&lt;&gt;"",Pronostici!$F24=Partite!$G24,Pronostici!$G24=Partite!$H24),IF(AND($B24&gt;=Config!$D$17,COUNTIF($P24:$T24,$P24)=1),Config!$D$9,Config!$D$6),IF(AND($J24&lt;&gt;"",$J24=Partite!$I24),IF(AND($B24&gt;=Config!$D$17,COUNTIF($J24:$N24,$J24)=1),Config!$D$10,Config!$D$7),Config!$D$8)))</f>
        <v/>
      </c>
      <c r="E24" s="22">
        <f>IF(Partite!$K24&lt;&gt;"Giocata","",IF(AND(Pronostici!$I24&lt;&gt;"",Pronostici!$J24&lt;&gt;"",Pronostici!$I24=Partite!$G24,Pronostici!$J24=Partite!$H24),IF(AND($B24&gt;=Config!$D$17,COUNTIF($P24:$T24,$Q24)=1),Config!$D$9,Config!$D$6),IF(AND($K24&lt;&gt;"",$K24=Partite!$I24),IF(AND($B24&gt;=Config!$D$17,COUNTIF($J24:$N24,$K24)=1),Config!$D$10,Config!$D$7),Config!$D$8)))</f>
        <v/>
      </c>
      <c r="F24" s="22">
        <f>IF(Partite!$K24&lt;&gt;"Giocata","",IF(AND(Pronostici!$L24&lt;&gt;"",Pronostici!$M24&lt;&gt;"",Pronostici!$L24=Partite!$G24,Pronostici!$M24=Partite!$H24),IF(AND($B24&gt;=Config!$D$17,COUNTIF($P24:$T24,$R24)=1),Config!$D$9,Config!$D$6),IF(AND($L24&lt;&gt;"",$L24=Partite!$I24),IF(AND($B24&gt;=Config!$D$17,COUNTIF($J24:$N24,$L24)=1),Config!$D$10,Config!$D$7),Config!$D$8)))</f>
        <v/>
      </c>
      <c r="G24" s="22">
        <f>IF(Partite!$K24&lt;&gt;"Giocata","",IF(AND(Pronostici!$O24&lt;&gt;"",Pronostici!$P24&lt;&gt;"",Pronostici!$O24=Partite!$G24,Pronostici!$P24=Partite!$H24),IF(AND($B24&gt;=Config!$D$17,COUNTIF($P24:$T24,$S24)=1),Config!$D$9,Config!$D$6),IF(AND($M24&lt;&gt;"",$M24=Partite!$I24),IF(AND($B24&gt;=Config!$D$17,COUNTIF($J24:$N24,$M24)=1),Config!$D$10,Config!$D$7),Config!$D$8)))</f>
        <v/>
      </c>
      <c r="H24" s="22">
        <f>IF(Partite!$K24&lt;&gt;"Giocata","",IF(AND(Pronostici!$R24&lt;&gt;"",Pronostici!$S24&lt;&gt;"",Pronostici!$R24=Partite!$G24,Pronostici!$S24=Partite!$H24),IF(AND($B24&gt;=Config!$D$17,COUNTIF($P24:$T24,$T24)=1),Config!$D$9,Config!$D$6),IF(AND($N24&lt;&gt;"",$N24=Partite!$I24),IF(AND($B24&gt;=Config!$D$17,COUNTIF($J24:$N24,$N24)=1),Config!$D$10,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c r="P24" s="63">
        <f>IF(OR(Pronostici!$F24="",Pronostici!$G24=""),"",Pronostici!$F24&amp;" a "&amp;Pronostici!$G24)</f>
        <v/>
      </c>
      <c r="Q24" s="63">
        <f>IF(OR(Pronostici!$I24="",Pronostici!$J24=""),"",Pronostici!$I24&amp;" a "&amp;Pronostici!$J24)</f>
        <v/>
      </c>
      <c r="R24" s="63">
        <f>IF(OR(Pronostici!$L24="",Pronostici!$M24=""),"",Pronostici!$L24&amp;" a "&amp;Pronostici!$M24)</f>
        <v/>
      </c>
      <c r="S24" s="63">
        <f>IF(OR(Pronostici!$O24="",Pronostici!$P24=""),"",Pronostici!$O24&amp;" a "&amp;Pronostici!$P24)</f>
        <v/>
      </c>
      <c r="T24" s="63">
        <f>IF(OR(Pronostici!$R24="",Pronostici!$S24=""),"",Pronostici!$R24&amp;" a "&amp;Pronostici!$S24)</f>
        <v/>
      </c>
    </row>
    <row r="25">
      <c r="A25" s="69">
        <f>Partite!$A25</f>
        <v/>
      </c>
      <c r="B25" s="25">
        <f>Partite!$B25</f>
        <v/>
      </c>
      <c r="C25" s="43">
        <f>IF(Partite!$E25="","",Partite!$E25&amp;"  -  "&amp;Partite!$F25)</f>
        <v/>
      </c>
      <c r="D25" s="22">
        <f>IF(Partite!$K25&lt;&gt;"Giocata","",IF(AND(Pronostici!$F25&lt;&gt;"",Pronostici!$G25&lt;&gt;"",Pronostici!$F25=Partite!$G25,Pronostici!$G25=Partite!$H25),IF(AND($B25&gt;=Config!$D$17,COUNTIF($P25:$T25,$P25)=1),Config!$D$9,Config!$D$6),IF(AND($J25&lt;&gt;"",$J25=Partite!$I25),IF(AND($B25&gt;=Config!$D$17,COUNTIF($J25:$N25,$J25)=1),Config!$D$10,Config!$D$7),Config!$D$8)))</f>
        <v/>
      </c>
      <c r="E25" s="22">
        <f>IF(Partite!$K25&lt;&gt;"Giocata","",IF(AND(Pronostici!$I25&lt;&gt;"",Pronostici!$J25&lt;&gt;"",Pronostici!$I25=Partite!$G25,Pronostici!$J25=Partite!$H25),IF(AND($B25&gt;=Config!$D$17,COUNTIF($P25:$T25,$Q25)=1),Config!$D$9,Config!$D$6),IF(AND($K25&lt;&gt;"",$K25=Partite!$I25),IF(AND($B25&gt;=Config!$D$17,COUNTIF($J25:$N25,$K25)=1),Config!$D$10,Config!$D$7),Config!$D$8)))</f>
        <v/>
      </c>
      <c r="F25" s="22">
        <f>IF(Partite!$K25&lt;&gt;"Giocata","",IF(AND(Pronostici!$L25&lt;&gt;"",Pronostici!$M25&lt;&gt;"",Pronostici!$L25=Partite!$G25,Pronostici!$M25=Partite!$H25),IF(AND($B25&gt;=Config!$D$17,COUNTIF($P25:$T25,$R25)=1),Config!$D$9,Config!$D$6),IF(AND($L25&lt;&gt;"",$L25=Partite!$I25),IF(AND($B25&gt;=Config!$D$17,COUNTIF($J25:$N25,$L25)=1),Config!$D$10,Config!$D$7),Config!$D$8)))</f>
        <v/>
      </c>
      <c r="G25" s="22">
        <f>IF(Partite!$K25&lt;&gt;"Giocata","",IF(AND(Pronostici!$O25&lt;&gt;"",Pronostici!$P25&lt;&gt;"",Pronostici!$O25=Partite!$G25,Pronostici!$P25=Partite!$H25),IF(AND($B25&gt;=Config!$D$17,COUNTIF($P25:$T25,$S25)=1),Config!$D$9,Config!$D$6),IF(AND($M25&lt;&gt;"",$M25=Partite!$I25),IF(AND($B25&gt;=Config!$D$17,COUNTIF($J25:$N25,$M25)=1),Config!$D$10,Config!$D$7),Config!$D$8)))</f>
        <v/>
      </c>
      <c r="H25" s="22">
        <f>IF(Partite!$K25&lt;&gt;"Giocata","",IF(AND(Pronostici!$R25&lt;&gt;"",Pronostici!$S25&lt;&gt;"",Pronostici!$R25=Partite!$G25,Pronostici!$S25=Partite!$H25),IF(AND($B25&gt;=Config!$D$17,COUNTIF($P25:$T25,$T25)=1),Config!$D$9,Config!$D$6),IF(AND($N25&lt;&gt;"",$N25=Partite!$I25),IF(AND($B25&gt;=Config!$D$17,COUNTIF($J25:$N25,$N25)=1),Config!$D$10,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c r="P25" s="63">
        <f>IF(OR(Pronostici!$F25="",Pronostici!$G25=""),"",Pronostici!$F25&amp;" a "&amp;Pronostici!$G25)</f>
        <v/>
      </c>
      <c r="Q25" s="63">
        <f>IF(OR(Pronostici!$I25="",Pronostici!$J25=""),"",Pronostici!$I25&amp;" a "&amp;Pronostici!$J25)</f>
        <v/>
      </c>
      <c r="R25" s="63">
        <f>IF(OR(Pronostici!$L25="",Pronostici!$M25=""),"",Pronostici!$L25&amp;" a "&amp;Pronostici!$M25)</f>
        <v/>
      </c>
      <c r="S25" s="63">
        <f>IF(OR(Pronostici!$O25="",Pronostici!$P25=""),"",Pronostici!$O25&amp;" a "&amp;Pronostici!$P25)</f>
        <v/>
      </c>
      <c r="T25" s="63">
        <f>IF(OR(Pronostici!$R25="",Pronostici!$S25=""),"",Pronostici!$R25&amp;" a "&amp;Pronostici!$S25)</f>
        <v/>
      </c>
    </row>
    <row r="26">
      <c r="A26" s="69">
        <f>Partite!$A26</f>
        <v/>
      </c>
      <c r="B26" s="25">
        <f>Partite!$B26</f>
        <v/>
      </c>
      <c r="C26" s="43">
        <f>IF(Partite!$E26="","",Partite!$E26&amp;"  -  "&amp;Partite!$F26)</f>
        <v/>
      </c>
      <c r="D26" s="22">
        <f>IF(Partite!$K26&lt;&gt;"Giocata","",IF(AND(Pronostici!$F26&lt;&gt;"",Pronostici!$G26&lt;&gt;"",Pronostici!$F26=Partite!$G26,Pronostici!$G26=Partite!$H26),IF(AND($B26&gt;=Config!$D$17,COUNTIF($P26:$T26,$P26)=1),Config!$D$9,Config!$D$6),IF(AND($J26&lt;&gt;"",$J26=Partite!$I26),IF(AND($B26&gt;=Config!$D$17,COUNTIF($J26:$N26,$J26)=1),Config!$D$10,Config!$D$7),Config!$D$8)))</f>
        <v/>
      </c>
      <c r="E26" s="22">
        <f>IF(Partite!$K26&lt;&gt;"Giocata","",IF(AND(Pronostici!$I26&lt;&gt;"",Pronostici!$J26&lt;&gt;"",Pronostici!$I26=Partite!$G26,Pronostici!$J26=Partite!$H26),IF(AND($B26&gt;=Config!$D$17,COUNTIF($P26:$T26,$Q26)=1),Config!$D$9,Config!$D$6),IF(AND($K26&lt;&gt;"",$K26=Partite!$I26),IF(AND($B26&gt;=Config!$D$17,COUNTIF($J26:$N26,$K26)=1),Config!$D$10,Config!$D$7),Config!$D$8)))</f>
        <v/>
      </c>
      <c r="F26" s="22">
        <f>IF(Partite!$K26&lt;&gt;"Giocata","",IF(AND(Pronostici!$L26&lt;&gt;"",Pronostici!$M26&lt;&gt;"",Pronostici!$L26=Partite!$G26,Pronostici!$M26=Partite!$H26),IF(AND($B26&gt;=Config!$D$17,COUNTIF($P26:$T26,$R26)=1),Config!$D$9,Config!$D$6),IF(AND($L26&lt;&gt;"",$L26=Partite!$I26),IF(AND($B26&gt;=Config!$D$17,COUNTIF($J26:$N26,$L26)=1),Config!$D$10,Config!$D$7),Config!$D$8)))</f>
        <v/>
      </c>
      <c r="G26" s="22">
        <f>IF(Partite!$K26&lt;&gt;"Giocata","",IF(AND(Pronostici!$O26&lt;&gt;"",Pronostici!$P26&lt;&gt;"",Pronostici!$O26=Partite!$G26,Pronostici!$P26=Partite!$H26),IF(AND($B26&gt;=Config!$D$17,COUNTIF($P26:$T26,$S26)=1),Config!$D$9,Config!$D$6),IF(AND($M26&lt;&gt;"",$M26=Partite!$I26),IF(AND($B26&gt;=Config!$D$17,COUNTIF($J26:$N26,$M26)=1),Config!$D$10,Config!$D$7),Config!$D$8)))</f>
        <v/>
      </c>
      <c r="H26" s="22">
        <f>IF(Partite!$K26&lt;&gt;"Giocata","",IF(AND(Pronostici!$R26&lt;&gt;"",Pronostici!$S26&lt;&gt;"",Pronostici!$R26=Partite!$G26,Pronostici!$S26=Partite!$H26),IF(AND($B26&gt;=Config!$D$17,COUNTIF($P26:$T26,$T26)=1),Config!$D$9,Config!$D$6),IF(AND($N26&lt;&gt;"",$N26=Partite!$I26),IF(AND($B26&gt;=Config!$D$17,COUNTIF($J26:$N26,$N26)=1),Config!$D$10,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c r="P26" s="63">
        <f>IF(OR(Pronostici!$F26="",Pronostici!$G26=""),"",Pronostici!$F26&amp;" a "&amp;Pronostici!$G26)</f>
        <v/>
      </c>
      <c r="Q26" s="63">
        <f>IF(OR(Pronostici!$I26="",Pronostici!$J26=""),"",Pronostici!$I26&amp;" a "&amp;Pronostici!$J26)</f>
        <v/>
      </c>
      <c r="R26" s="63">
        <f>IF(OR(Pronostici!$L26="",Pronostici!$M26=""),"",Pronostici!$L26&amp;" a "&amp;Pronostici!$M26)</f>
        <v/>
      </c>
      <c r="S26" s="63">
        <f>IF(OR(Pronostici!$O26="",Pronostici!$P26=""),"",Pronostici!$O26&amp;" a "&amp;Pronostici!$P26)</f>
        <v/>
      </c>
      <c r="T26" s="63">
        <f>IF(OR(Pronostici!$R26="",Pronostici!$S26=""),"",Pronostici!$R26&amp;" a "&amp;Pronostici!$S26)</f>
        <v/>
      </c>
    </row>
    <row r="27">
      <c r="A27" s="69">
        <f>Partite!$A27</f>
        <v/>
      </c>
      <c r="B27" s="25">
        <f>Partite!$B27</f>
        <v/>
      </c>
      <c r="C27" s="43">
        <f>IF(Partite!$E27="","",Partite!$E27&amp;"  -  "&amp;Partite!$F27)</f>
        <v/>
      </c>
      <c r="D27" s="22">
        <f>IF(Partite!$K27&lt;&gt;"Giocata","",IF(AND(Pronostici!$F27&lt;&gt;"",Pronostici!$G27&lt;&gt;"",Pronostici!$F27=Partite!$G27,Pronostici!$G27=Partite!$H27),IF(AND($B27&gt;=Config!$D$17,COUNTIF($P27:$T27,$P27)=1),Config!$D$9,Config!$D$6),IF(AND($J27&lt;&gt;"",$J27=Partite!$I27),IF(AND($B27&gt;=Config!$D$17,COUNTIF($J27:$N27,$J27)=1),Config!$D$10,Config!$D$7),Config!$D$8)))</f>
        <v/>
      </c>
      <c r="E27" s="22">
        <f>IF(Partite!$K27&lt;&gt;"Giocata","",IF(AND(Pronostici!$I27&lt;&gt;"",Pronostici!$J27&lt;&gt;"",Pronostici!$I27=Partite!$G27,Pronostici!$J27=Partite!$H27),IF(AND($B27&gt;=Config!$D$17,COUNTIF($P27:$T27,$Q27)=1),Config!$D$9,Config!$D$6),IF(AND($K27&lt;&gt;"",$K27=Partite!$I27),IF(AND($B27&gt;=Config!$D$17,COUNTIF($J27:$N27,$K27)=1),Config!$D$10,Config!$D$7),Config!$D$8)))</f>
        <v/>
      </c>
      <c r="F27" s="22">
        <f>IF(Partite!$K27&lt;&gt;"Giocata","",IF(AND(Pronostici!$L27&lt;&gt;"",Pronostici!$M27&lt;&gt;"",Pronostici!$L27=Partite!$G27,Pronostici!$M27=Partite!$H27),IF(AND($B27&gt;=Config!$D$17,COUNTIF($P27:$T27,$R27)=1),Config!$D$9,Config!$D$6),IF(AND($L27&lt;&gt;"",$L27=Partite!$I27),IF(AND($B27&gt;=Config!$D$17,COUNTIF($J27:$N27,$L27)=1),Config!$D$10,Config!$D$7),Config!$D$8)))</f>
        <v/>
      </c>
      <c r="G27" s="22">
        <f>IF(Partite!$K27&lt;&gt;"Giocata","",IF(AND(Pronostici!$O27&lt;&gt;"",Pronostici!$P27&lt;&gt;"",Pronostici!$O27=Partite!$G27,Pronostici!$P27=Partite!$H27),IF(AND($B27&gt;=Config!$D$17,COUNTIF($P27:$T27,$S27)=1),Config!$D$9,Config!$D$6),IF(AND($M27&lt;&gt;"",$M27=Partite!$I27),IF(AND($B27&gt;=Config!$D$17,COUNTIF($J27:$N27,$M27)=1),Config!$D$10,Config!$D$7),Config!$D$8)))</f>
        <v/>
      </c>
      <c r="H27" s="22">
        <f>IF(Partite!$K27&lt;&gt;"Giocata","",IF(AND(Pronostici!$R27&lt;&gt;"",Pronostici!$S27&lt;&gt;"",Pronostici!$R27=Partite!$G27,Pronostici!$S27=Partite!$H27),IF(AND($B27&gt;=Config!$D$17,COUNTIF($P27:$T27,$T27)=1),Config!$D$9,Config!$D$6),IF(AND($N27&lt;&gt;"",$N27=Partite!$I27),IF(AND($B27&gt;=Config!$D$17,COUNTIF($J27:$N27,$N27)=1),Config!$D$10,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c r="P27" s="63">
        <f>IF(OR(Pronostici!$F27="",Pronostici!$G27=""),"",Pronostici!$F27&amp;" a "&amp;Pronostici!$G27)</f>
        <v/>
      </c>
      <c r="Q27" s="63">
        <f>IF(OR(Pronostici!$I27="",Pronostici!$J27=""),"",Pronostici!$I27&amp;" a "&amp;Pronostici!$J27)</f>
        <v/>
      </c>
      <c r="R27" s="63">
        <f>IF(OR(Pronostici!$L27="",Pronostici!$M27=""),"",Pronostici!$L27&amp;" a "&amp;Pronostici!$M27)</f>
        <v/>
      </c>
      <c r="S27" s="63">
        <f>IF(OR(Pronostici!$O27="",Pronostici!$P27=""),"",Pronostici!$O27&amp;" a "&amp;Pronostici!$P27)</f>
        <v/>
      </c>
      <c r="T27" s="63">
        <f>IF(OR(Pronostici!$R27="",Pronostici!$S27=""),"",Pronostici!$R27&amp;" a "&amp;Pronostici!$S27)</f>
        <v/>
      </c>
    </row>
    <row r="28">
      <c r="A28" s="69">
        <f>Partite!$A28</f>
        <v/>
      </c>
      <c r="B28" s="25">
        <f>Partite!$B28</f>
        <v/>
      </c>
      <c r="C28" s="43">
        <f>IF(Partite!$E28="","",Partite!$E28&amp;"  -  "&amp;Partite!$F28)</f>
        <v/>
      </c>
      <c r="D28" s="22">
        <f>IF(Partite!$K28&lt;&gt;"Giocata","",IF(AND(Pronostici!$F28&lt;&gt;"",Pronostici!$G28&lt;&gt;"",Pronostici!$F28=Partite!$G28,Pronostici!$G28=Partite!$H28),IF(AND($B28&gt;=Config!$D$17,COUNTIF($P28:$T28,$P28)=1),Config!$D$9,Config!$D$6),IF(AND($J28&lt;&gt;"",$J28=Partite!$I28),IF(AND($B28&gt;=Config!$D$17,COUNTIF($J28:$N28,$J28)=1),Config!$D$10,Config!$D$7),Config!$D$8)))</f>
        <v/>
      </c>
      <c r="E28" s="22">
        <f>IF(Partite!$K28&lt;&gt;"Giocata","",IF(AND(Pronostici!$I28&lt;&gt;"",Pronostici!$J28&lt;&gt;"",Pronostici!$I28=Partite!$G28,Pronostici!$J28=Partite!$H28),IF(AND($B28&gt;=Config!$D$17,COUNTIF($P28:$T28,$Q28)=1),Config!$D$9,Config!$D$6),IF(AND($K28&lt;&gt;"",$K28=Partite!$I28),IF(AND($B28&gt;=Config!$D$17,COUNTIF($J28:$N28,$K28)=1),Config!$D$10,Config!$D$7),Config!$D$8)))</f>
        <v/>
      </c>
      <c r="F28" s="22">
        <f>IF(Partite!$K28&lt;&gt;"Giocata","",IF(AND(Pronostici!$L28&lt;&gt;"",Pronostici!$M28&lt;&gt;"",Pronostici!$L28=Partite!$G28,Pronostici!$M28=Partite!$H28),IF(AND($B28&gt;=Config!$D$17,COUNTIF($P28:$T28,$R28)=1),Config!$D$9,Config!$D$6),IF(AND($L28&lt;&gt;"",$L28=Partite!$I28),IF(AND($B28&gt;=Config!$D$17,COUNTIF($J28:$N28,$L28)=1),Config!$D$10,Config!$D$7),Config!$D$8)))</f>
        <v/>
      </c>
      <c r="G28" s="22">
        <f>IF(Partite!$K28&lt;&gt;"Giocata","",IF(AND(Pronostici!$O28&lt;&gt;"",Pronostici!$P28&lt;&gt;"",Pronostici!$O28=Partite!$G28,Pronostici!$P28=Partite!$H28),IF(AND($B28&gt;=Config!$D$17,COUNTIF($P28:$T28,$S28)=1),Config!$D$9,Config!$D$6),IF(AND($M28&lt;&gt;"",$M28=Partite!$I28),IF(AND($B28&gt;=Config!$D$17,COUNTIF($J28:$N28,$M28)=1),Config!$D$10,Config!$D$7),Config!$D$8)))</f>
        <v/>
      </c>
      <c r="H28" s="22">
        <f>IF(Partite!$K28&lt;&gt;"Giocata","",IF(AND(Pronostici!$R28&lt;&gt;"",Pronostici!$S28&lt;&gt;"",Pronostici!$R28=Partite!$G28,Pronostici!$S28=Partite!$H28),IF(AND($B28&gt;=Config!$D$17,COUNTIF($P28:$T28,$T28)=1),Config!$D$9,Config!$D$6),IF(AND($N28&lt;&gt;"",$N28=Partite!$I28),IF(AND($B28&gt;=Config!$D$17,COUNTIF($J28:$N28,$N28)=1),Config!$D$10,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c r="P28" s="63">
        <f>IF(OR(Pronostici!$F28="",Pronostici!$G28=""),"",Pronostici!$F28&amp;" a "&amp;Pronostici!$G28)</f>
        <v/>
      </c>
      <c r="Q28" s="63">
        <f>IF(OR(Pronostici!$I28="",Pronostici!$J28=""),"",Pronostici!$I28&amp;" a "&amp;Pronostici!$J28)</f>
        <v/>
      </c>
      <c r="R28" s="63">
        <f>IF(OR(Pronostici!$L28="",Pronostici!$M28=""),"",Pronostici!$L28&amp;" a "&amp;Pronostici!$M28)</f>
        <v/>
      </c>
      <c r="S28" s="63">
        <f>IF(OR(Pronostici!$O28="",Pronostici!$P28=""),"",Pronostici!$O28&amp;" a "&amp;Pronostici!$P28)</f>
        <v/>
      </c>
      <c r="T28" s="63">
        <f>IF(OR(Pronostici!$R28="",Pronostici!$S28=""),"",Pronostici!$R28&amp;" a "&amp;Pronostici!$S28)</f>
        <v/>
      </c>
    </row>
    <row r="29">
      <c r="A29" s="69">
        <f>Partite!$A29</f>
        <v/>
      </c>
      <c r="B29" s="25">
        <f>Partite!$B29</f>
        <v/>
      </c>
      <c r="C29" s="43">
        <f>IF(Partite!$E29="","",Partite!$E29&amp;"  -  "&amp;Partite!$F29)</f>
        <v/>
      </c>
      <c r="D29" s="22">
        <f>IF(Partite!$K29&lt;&gt;"Giocata","",IF(AND(Pronostici!$F29&lt;&gt;"",Pronostici!$G29&lt;&gt;"",Pronostici!$F29=Partite!$G29,Pronostici!$G29=Partite!$H29),IF(AND($B29&gt;=Config!$D$17,COUNTIF($P29:$T29,$P29)=1),Config!$D$9,Config!$D$6),IF(AND($J29&lt;&gt;"",$J29=Partite!$I29),IF(AND($B29&gt;=Config!$D$17,COUNTIF($J29:$N29,$J29)=1),Config!$D$10,Config!$D$7),Config!$D$8)))</f>
        <v/>
      </c>
      <c r="E29" s="22">
        <f>IF(Partite!$K29&lt;&gt;"Giocata","",IF(AND(Pronostici!$I29&lt;&gt;"",Pronostici!$J29&lt;&gt;"",Pronostici!$I29=Partite!$G29,Pronostici!$J29=Partite!$H29),IF(AND($B29&gt;=Config!$D$17,COUNTIF($P29:$T29,$Q29)=1),Config!$D$9,Config!$D$6),IF(AND($K29&lt;&gt;"",$K29=Partite!$I29),IF(AND($B29&gt;=Config!$D$17,COUNTIF($J29:$N29,$K29)=1),Config!$D$10,Config!$D$7),Config!$D$8)))</f>
        <v/>
      </c>
      <c r="F29" s="22">
        <f>IF(Partite!$K29&lt;&gt;"Giocata","",IF(AND(Pronostici!$L29&lt;&gt;"",Pronostici!$M29&lt;&gt;"",Pronostici!$L29=Partite!$G29,Pronostici!$M29=Partite!$H29),IF(AND($B29&gt;=Config!$D$17,COUNTIF($P29:$T29,$R29)=1),Config!$D$9,Config!$D$6),IF(AND($L29&lt;&gt;"",$L29=Partite!$I29),IF(AND($B29&gt;=Config!$D$17,COUNTIF($J29:$N29,$L29)=1),Config!$D$10,Config!$D$7),Config!$D$8)))</f>
        <v/>
      </c>
      <c r="G29" s="22">
        <f>IF(Partite!$K29&lt;&gt;"Giocata","",IF(AND(Pronostici!$O29&lt;&gt;"",Pronostici!$P29&lt;&gt;"",Pronostici!$O29=Partite!$G29,Pronostici!$P29=Partite!$H29),IF(AND($B29&gt;=Config!$D$17,COUNTIF($P29:$T29,$S29)=1),Config!$D$9,Config!$D$6),IF(AND($M29&lt;&gt;"",$M29=Partite!$I29),IF(AND($B29&gt;=Config!$D$17,COUNTIF($J29:$N29,$M29)=1),Config!$D$10,Config!$D$7),Config!$D$8)))</f>
        <v/>
      </c>
      <c r="H29" s="22">
        <f>IF(Partite!$K29&lt;&gt;"Giocata","",IF(AND(Pronostici!$R29&lt;&gt;"",Pronostici!$S29&lt;&gt;"",Pronostici!$R29=Partite!$G29,Pronostici!$S29=Partite!$H29),IF(AND($B29&gt;=Config!$D$17,COUNTIF($P29:$T29,$T29)=1),Config!$D$9,Config!$D$6),IF(AND($N29&lt;&gt;"",$N29=Partite!$I29),IF(AND($B29&gt;=Config!$D$17,COUNTIF($J29:$N29,$N29)=1),Config!$D$10,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c r="P29" s="63">
        <f>IF(OR(Pronostici!$F29="",Pronostici!$G29=""),"",Pronostici!$F29&amp;" a "&amp;Pronostici!$G29)</f>
        <v/>
      </c>
      <c r="Q29" s="63">
        <f>IF(OR(Pronostici!$I29="",Pronostici!$J29=""),"",Pronostici!$I29&amp;" a "&amp;Pronostici!$J29)</f>
        <v/>
      </c>
      <c r="R29" s="63">
        <f>IF(OR(Pronostici!$L29="",Pronostici!$M29=""),"",Pronostici!$L29&amp;" a "&amp;Pronostici!$M29)</f>
        <v/>
      </c>
      <c r="S29" s="63">
        <f>IF(OR(Pronostici!$O29="",Pronostici!$P29=""),"",Pronostici!$O29&amp;" a "&amp;Pronostici!$P29)</f>
        <v/>
      </c>
      <c r="T29" s="63">
        <f>IF(OR(Pronostici!$R29="",Pronostici!$S29=""),"",Pronostici!$R29&amp;" a "&amp;Pronostici!$S29)</f>
        <v/>
      </c>
    </row>
    <row r="30">
      <c r="A30" s="69">
        <f>Partite!$A30</f>
        <v/>
      </c>
      <c r="B30" s="25">
        <f>Partite!$B30</f>
        <v/>
      </c>
      <c r="C30" s="43">
        <f>IF(Partite!$E30="","",Partite!$E30&amp;"  -  "&amp;Partite!$F30)</f>
        <v/>
      </c>
      <c r="D30" s="22">
        <f>IF(Partite!$K30&lt;&gt;"Giocata","",IF(AND(Pronostici!$F30&lt;&gt;"",Pronostici!$G30&lt;&gt;"",Pronostici!$F30=Partite!$G30,Pronostici!$G30=Partite!$H30),IF(AND($B30&gt;=Config!$D$17,COUNTIF($P30:$T30,$P30)=1),Config!$D$9,Config!$D$6),IF(AND($J30&lt;&gt;"",$J30=Partite!$I30),IF(AND($B30&gt;=Config!$D$17,COUNTIF($J30:$N30,$J30)=1),Config!$D$10,Config!$D$7),Config!$D$8)))</f>
        <v/>
      </c>
      <c r="E30" s="22">
        <f>IF(Partite!$K30&lt;&gt;"Giocata","",IF(AND(Pronostici!$I30&lt;&gt;"",Pronostici!$J30&lt;&gt;"",Pronostici!$I30=Partite!$G30,Pronostici!$J30=Partite!$H30),IF(AND($B30&gt;=Config!$D$17,COUNTIF($P30:$T30,$Q30)=1),Config!$D$9,Config!$D$6),IF(AND($K30&lt;&gt;"",$K30=Partite!$I30),IF(AND($B30&gt;=Config!$D$17,COUNTIF($J30:$N30,$K30)=1),Config!$D$10,Config!$D$7),Config!$D$8)))</f>
        <v/>
      </c>
      <c r="F30" s="22">
        <f>IF(Partite!$K30&lt;&gt;"Giocata","",IF(AND(Pronostici!$L30&lt;&gt;"",Pronostici!$M30&lt;&gt;"",Pronostici!$L30=Partite!$G30,Pronostici!$M30=Partite!$H30),IF(AND($B30&gt;=Config!$D$17,COUNTIF($P30:$T30,$R30)=1),Config!$D$9,Config!$D$6),IF(AND($L30&lt;&gt;"",$L30=Partite!$I30),IF(AND($B30&gt;=Config!$D$17,COUNTIF($J30:$N30,$L30)=1),Config!$D$10,Config!$D$7),Config!$D$8)))</f>
        <v/>
      </c>
      <c r="G30" s="22">
        <f>IF(Partite!$K30&lt;&gt;"Giocata","",IF(AND(Pronostici!$O30&lt;&gt;"",Pronostici!$P30&lt;&gt;"",Pronostici!$O30=Partite!$G30,Pronostici!$P30=Partite!$H30),IF(AND($B30&gt;=Config!$D$17,COUNTIF($P30:$T30,$S30)=1),Config!$D$9,Config!$D$6),IF(AND($M30&lt;&gt;"",$M30=Partite!$I30),IF(AND($B30&gt;=Config!$D$17,COUNTIF($J30:$N30,$M30)=1),Config!$D$10,Config!$D$7),Config!$D$8)))</f>
        <v/>
      </c>
      <c r="H30" s="22">
        <f>IF(Partite!$K30&lt;&gt;"Giocata","",IF(AND(Pronostici!$R30&lt;&gt;"",Pronostici!$S30&lt;&gt;"",Pronostici!$R30=Partite!$G30,Pronostici!$S30=Partite!$H30),IF(AND($B30&gt;=Config!$D$17,COUNTIF($P30:$T30,$T30)=1),Config!$D$9,Config!$D$6),IF(AND($N30&lt;&gt;"",$N30=Partite!$I30),IF(AND($B30&gt;=Config!$D$17,COUNTIF($J30:$N30,$N30)=1),Config!$D$10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c r="P30" s="63">
        <f>IF(OR(Pronostici!$F30="",Pronostici!$G30=""),"",Pronostici!$F30&amp;" a "&amp;Pronostici!$G30)</f>
        <v/>
      </c>
      <c r="Q30" s="63">
        <f>IF(OR(Pronostici!$I30="",Pronostici!$J30=""),"",Pronostici!$I30&amp;" a "&amp;Pronostici!$J30)</f>
        <v/>
      </c>
      <c r="R30" s="63">
        <f>IF(OR(Pronostici!$L30="",Pronostici!$M30=""),"",Pronostici!$L30&amp;" a "&amp;Pronostici!$M30)</f>
        <v/>
      </c>
      <c r="S30" s="63">
        <f>IF(OR(Pronostici!$O30="",Pronostici!$P30=""),"",Pronostici!$O30&amp;" a "&amp;Pronostici!$P30)</f>
        <v/>
      </c>
      <c r="T30" s="63">
        <f>IF(OR(Pronostici!$R30="",Pronostici!$S30=""),"",Pronostici!$R30&amp;" a "&amp;Pronostici!$S30)</f>
        <v/>
      </c>
    </row>
    <row r="31">
      <c r="A31" s="69">
        <f>Partite!$A31</f>
        <v/>
      </c>
      <c r="B31" s="25">
        <f>Partite!$B31</f>
        <v/>
      </c>
      <c r="C31" s="43">
        <f>IF(Partite!$E31="","",Partite!$E31&amp;"  -  "&amp;Partite!$F31)</f>
        <v/>
      </c>
      <c r="D31" s="22">
        <f>IF(Partite!$K31&lt;&gt;"Giocata","",IF(AND(Pronostici!$F31&lt;&gt;"",Pronostici!$G31&lt;&gt;"",Pronostici!$F31=Partite!$G31,Pronostici!$G31=Partite!$H31),IF(AND($B31&gt;=Config!$D$17,COUNTIF($P31:$T31,$P31)=1),Config!$D$9,Config!$D$6),IF(AND($J31&lt;&gt;"",$J31=Partite!$I31),IF(AND($B31&gt;=Config!$D$17,COUNTIF($J31:$N31,$J31)=1),Config!$D$10,Config!$D$7),Config!$D$8)))</f>
        <v/>
      </c>
      <c r="E31" s="22">
        <f>IF(Partite!$K31&lt;&gt;"Giocata","",IF(AND(Pronostici!$I31&lt;&gt;"",Pronostici!$J31&lt;&gt;"",Pronostici!$I31=Partite!$G31,Pronostici!$J31=Partite!$H31),IF(AND($B31&gt;=Config!$D$17,COUNTIF($P31:$T31,$Q31)=1),Config!$D$9,Config!$D$6),IF(AND($K31&lt;&gt;"",$K31=Partite!$I31),IF(AND($B31&gt;=Config!$D$17,COUNTIF($J31:$N31,$K31)=1),Config!$D$10,Config!$D$7),Config!$D$8)))</f>
        <v/>
      </c>
      <c r="F31" s="22">
        <f>IF(Partite!$K31&lt;&gt;"Giocata","",IF(AND(Pronostici!$L31&lt;&gt;"",Pronostici!$M31&lt;&gt;"",Pronostici!$L31=Partite!$G31,Pronostici!$M31=Partite!$H31),IF(AND($B31&gt;=Config!$D$17,COUNTIF($P31:$T31,$R31)=1),Config!$D$9,Config!$D$6),IF(AND($L31&lt;&gt;"",$L31=Partite!$I31),IF(AND($B31&gt;=Config!$D$17,COUNTIF($J31:$N31,$L31)=1),Config!$D$10,Config!$D$7),Config!$D$8)))</f>
        <v/>
      </c>
      <c r="G31" s="22">
        <f>IF(Partite!$K31&lt;&gt;"Giocata","",IF(AND(Pronostici!$O31&lt;&gt;"",Pronostici!$P31&lt;&gt;"",Pronostici!$O31=Partite!$G31,Pronostici!$P31=Partite!$H31),IF(AND($B31&gt;=Config!$D$17,COUNTIF($P31:$T31,$S31)=1),Config!$D$9,Config!$D$6),IF(AND($M31&lt;&gt;"",$M31=Partite!$I31),IF(AND($B31&gt;=Config!$D$17,COUNTIF($J31:$N31,$M31)=1),Config!$D$10,Config!$D$7),Config!$D$8)))</f>
        <v/>
      </c>
      <c r="H31" s="22">
        <f>IF(Partite!$K31&lt;&gt;"Giocata","",IF(AND(Pronostici!$R31&lt;&gt;"",Pronostici!$S31&lt;&gt;"",Pronostici!$R31=Partite!$G31,Pronostici!$S31=Partite!$H31),IF(AND($B31&gt;=Config!$D$17,COUNTIF($P31:$T31,$T31)=1),Config!$D$9,Config!$D$6),IF(AND($N31&lt;&gt;"",$N31=Partite!$I31),IF(AND($B31&gt;=Config!$D$17,COUNTIF($J31:$N31,$N31)=1),Config!$D$10,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c r="P31" s="63">
        <f>IF(OR(Pronostici!$F31="",Pronostici!$G31=""),"",Pronostici!$F31&amp;" a "&amp;Pronostici!$G31)</f>
        <v/>
      </c>
      <c r="Q31" s="63">
        <f>IF(OR(Pronostici!$I31="",Pronostici!$J31=""),"",Pronostici!$I31&amp;" a "&amp;Pronostici!$J31)</f>
        <v/>
      </c>
      <c r="R31" s="63">
        <f>IF(OR(Pronostici!$L31="",Pronostici!$M31=""),"",Pronostici!$L31&amp;" a "&amp;Pronostici!$M31)</f>
        <v/>
      </c>
      <c r="S31" s="63">
        <f>IF(OR(Pronostici!$O31="",Pronostici!$P31=""),"",Pronostici!$O31&amp;" a "&amp;Pronostici!$P31)</f>
        <v/>
      </c>
      <c r="T31" s="63">
        <f>IF(OR(Pronostici!$R31="",Pronostici!$S31=""),"",Pronostici!$R31&amp;" a "&amp;Pronostici!$S31)</f>
        <v/>
      </c>
    </row>
    <row r="32">
      <c r="A32" s="69">
        <f>Partite!$A32</f>
        <v/>
      </c>
      <c r="B32" s="25">
        <f>Partite!$B32</f>
        <v/>
      </c>
      <c r="C32" s="43">
        <f>IF(Partite!$E32="","",Partite!$E32&amp;"  -  "&amp;Partite!$F32)</f>
        <v/>
      </c>
      <c r="D32" s="22">
        <f>IF(Partite!$K32&lt;&gt;"Giocata","",IF(AND(Pronostici!$F32&lt;&gt;"",Pronostici!$G32&lt;&gt;"",Pronostici!$F32=Partite!$G32,Pronostici!$G32=Partite!$H32),IF(AND($B32&gt;=Config!$D$17,COUNTIF($P32:$T32,$P32)=1),Config!$D$9,Config!$D$6),IF(AND($J32&lt;&gt;"",$J32=Partite!$I32),IF(AND($B32&gt;=Config!$D$17,COUNTIF($J32:$N32,$J32)=1),Config!$D$10,Config!$D$7),Config!$D$8)))</f>
        <v/>
      </c>
      <c r="E32" s="22">
        <f>IF(Partite!$K32&lt;&gt;"Giocata","",IF(AND(Pronostici!$I32&lt;&gt;"",Pronostici!$J32&lt;&gt;"",Pronostici!$I32=Partite!$G32,Pronostici!$J32=Partite!$H32),IF(AND($B32&gt;=Config!$D$17,COUNTIF($P32:$T32,$Q32)=1),Config!$D$9,Config!$D$6),IF(AND($K32&lt;&gt;"",$K32=Partite!$I32),IF(AND($B32&gt;=Config!$D$17,COUNTIF($J32:$N32,$K32)=1),Config!$D$10,Config!$D$7),Config!$D$8)))</f>
        <v/>
      </c>
      <c r="F32" s="22">
        <f>IF(Partite!$K32&lt;&gt;"Giocata","",IF(AND(Pronostici!$L32&lt;&gt;"",Pronostici!$M32&lt;&gt;"",Pronostici!$L32=Partite!$G32,Pronostici!$M32=Partite!$H32),IF(AND($B32&gt;=Config!$D$17,COUNTIF($P32:$T32,$R32)=1),Config!$D$9,Config!$D$6),IF(AND($L32&lt;&gt;"",$L32=Partite!$I32),IF(AND($B32&gt;=Config!$D$17,COUNTIF($J32:$N32,$L32)=1),Config!$D$10,Config!$D$7),Config!$D$8)))</f>
        <v/>
      </c>
      <c r="G32" s="22">
        <f>IF(Partite!$K32&lt;&gt;"Giocata","",IF(AND(Pronostici!$O32&lt;&gt;"",Pronostici!$P32&lt;&gt;"",Pronostici!$O32=Partite!$G32,Pronostici!$P32=Partite!$H32),IF(AND($B32&gt;=Config!$D$17,COUNTIF($P32:$T32,$S32)=1),Config!$D$9,Config!$D$6),IF(AND($M32&lt;&gt;"",$M32=Partite!$I32),IF(AND($B32&gt;=Config!$D$17,COUNTIF($J32:$N32,$M32)=1),Config!$D$10,Config!$D$7),Config!$D$8)))</f>
        <v/>
      </c>
      <c r="H32" s="22">
        <f>IF(Partite!$K32&lt;&gt;"Giocata","",IF(AND(Pronostici!$R32&lt;&gt;"",Pronostici!$S32&lt;&gt;"",Pronostici!$R32=Partite!$G32,Pronostici!$S32=Partite!$H32),IF(AND($B32&gt;=Config!$D$17,COUNTIF($P32:$T32,$T32)=1),Config!$D$9,Config!$D$6),IF(AND($N32&lt;&gt;"",$N32=Partite!$I32),IF(AND($B32&gt;=Config!$D$17,COUNTIF($J32:$N32,$N32)=1),Config!$D$10,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c r="P32" s="63">
        <f>IF(OR(Pronostici!$F32="",Pronostici!$G32=""),"",Pronostici!$F32&amp;" a "&amp;Pronostici!$G32)</f>
        <v/>
      </c>
      <c r="Q32" s="63">
        <f>IF(OR(Pronostici!$I32="",Pronostici!$J32=""),"",Pronostici!$I32&amp;" a "&amp;Pronostici!$J32)</f>
        <v/>
      </c>
      <c r="R32" s="63">
        <f>IF(OR(Pronostici!$L32="",Pronostici!$M32=""),"",Pronostici!$L32&amp;" a "&amp;Pronostici!$M32)</f>
        <v/>
      </c>
      <c r="S32" s="63">
        <f>IF(OR(Pronostici!$O32="",Pronostici!$P32=""),"",Pronostici!$O32&amp;" a "&amp;Pronostici!$P32)</f>
        <v/>
      </c>
      <c r="T32" s="63">
        <f>IF(OR(Pronostici!$R32="",Pronostici!$S32=""),"",Pronostici!$R32&amp;" a "&amp;Pronostici!$S32)</f>
        <v/>
      </c>
    </row>
    <row r="33">
      <c r="A33" s="74">
        <f>Partite!$A33</f>
        <v/>
      </c>
      <c r="B33" s="30">
        <f>Partite!$B33</f>
        <v/>
      </c>
      <c r="C33" s="47">
        <f>IF(Partite!$E33="","",Partite!$E33&amp;"  -  "&amp;Partite!$F33)</f>
        <v/>
      </c>
      <c r="D33" s="27">
        <f>IF(Partite!$K33&lt;&gt;"Giocata","",IF(AND(Pronostici!$F33&lt;&gt;"",Pronostici!$G33&lt;&gt;"",Pronostici!$F33=Partite!$G33,Pronostici!$G33=Partite!$H33),IF(AND($B33&gt;=Config!$D$17,COUNTIF($P33:$T33,$P33)=1),Config!$D$9,Config!$D$6),IF(AND($J33&lt;&gt;"",$J33=Partite!$I33),IF(AND($B33&gt;=Config!$D$17,COUNTIF($J33:$N33,$J33)=1),Config!$D$10,Config!$D$7),Config!$D$8)))</f>
        <v/>
      </c>
      <c r="E33" s="27">
        <f>IF(Partite!$K33&lt;&gt;"Giocata","",IF(AND(Pronostici!$I33&lt;&gt;"",Pronostici!$J33&lt;&gt;"",Pronostici!$I33=Partite!$G33,Pronostici!$J33=Partite!$H33),IF(AND($B33&gt;=Config!$D$17,COUNTIF($P33:$T33,$Q33)=1),Config!$D$9,Config!$D$6),IF(AND($K33&lt;&gt;"",$K33=Partite!$I33),IF(AND($B33&gt;=Config!$D$17,COUNTIF($J33:$N33,$K33)=1),Config!$D$10,Config!$D$7),Config!$D$8)))</f>
        <v/>
      </c>
      <c r="F33" s="27">
        <f>IF(Partite!$K33&lt;&gt;"Giocata","",IF(AND(Pronostici!$L33&lt;&gt;"",Pronostici!$M33&lt;&gt;"",Pronostici!$L33=Partite!$G33,Pronostici!$M33=Partite!$H33),IF(AND($B33&gt;=Config!$D$17,COUNTIF($P33:$T33,$R33)=1),Config!$D$9,Config!$D$6),IF(AND($L33&lt;&gt;"",$L33=Partite!$I33),IF(AND($B33&gt;=Config!$D$17,COUNTIF($J33:$N33,$L33)=1),Config!$D$10,Config!$D$7),Config!$D$8)))</f>
        <v/>
      </c>
      <c r="G33" s="27">
        <f>IF(Partite!$K33&lt;&gt;"Giocata","",IF(AND(Pronostici!$O33&lt;&gt;"",Pronostici!$P33&lt;&gt;"",Pronostici!$O33=Partite!$G33,Pronostici!$P33=Partite!$H33),IF(AND($B33&gt;=Config!$D$17,COUNTIF($P33:$T33,$S33)=1),Config!$D$9,Config!$D$6),IF(AND($M33&lt;&gt;"",$M33=Partite!$I33),IF(AND($B33&gt;=Config!$D$17,COUNTIF($J33:$N33,$M33)=1),Config!$D$10,Config!$D$7),Config!$D$8)))</f>
        <v/>
      </c>
      <c r="H33" s="27">
        <f>IF(Partite!$K33&lt;&gt;"Giocata","",IF(AND(Pronostici!$R33&lt;&gt;"",Pronostici!$S33&lt;&gt;"",Pronostici!$R33=Partite!$G33,Pronostici!$S33=Partite!$H33),IF(AND($B33&gt;=Config!$D$17,COUNTIF($P33:$T33,$T33)=1),Config!$D$9,Config!$D$6),IF(AND($N33&lt;&gt;"",$N33=Partite!$I33),IF(AND($B33&gt;=Config!$D$17,COUNTIF($J33:$N33,$N33)=1),Config!$D$10,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c r="P33" s="63">
        <f>IF(OR(Pronostici!$F33="",Pronostici!$G33=""),"",Pronostici!$F33&amp;" a "&amp;Pronostici!$G33)</f>
        <v/>
      </c>
      <c r="Q33" s="63">
        <f>IF(OR(Pronostici!$I33="",Pronostici!$J33=""),"",Pronostici!$I33&amp;" a "&amp;Pronostici!$J33)</f>
        <v/>
      </c>
      <c r="R33" s="63">
        <f>IF(OR(Pronostici!$L33="",Pronostici!$M33=""),"",Pronostici!$L33&amp;" a "&amp;Pronostici!$M33)</f>
        <v/>
      </c>
      <c r="S33" s="63">
        <f>IF(OR(Pronostici!$O33="",Pronostici!$P33=""),"",Pronostici!$O33&amp;" a "&amp;Pronostici!$P33)</f>
        <v/>
      </c>
      <c r="T33" s="63">
        <f>IF(OR(Pronostici!$R33="",Pronostici!$S33=""),"",Pronostici!$R33&amp;" a "&amp;Pronostici!$S33)</f>
        <v/>
      </c>
    </row>
    <row r="34">
      <c r="A34" s="74">
        <f>Partite!$A34</f>
        <v/>
      </c>
      <c r="B34" s="30">
        <f>Partite!$B34</f>
        <v/>
      </c>
      <c r="C34" s="47">
        <f>IF(Partite!$E34="","",Partite!$E34&amp;"  -  "&amp;Partite!$F34)</f>
        <v/>
      </c>
      <c r="D34" s="27">
        <f>IF(Partite!$K34&lt;&gt;"Giocata","",IF(AND(Pronostici!$F34&lt;&gt;"",Pronostici!$G34&lt;&gt;"",Pronostici!$F34=Partite!$G34,Pronostici!$G34=Partite!$H34),IF(AND($B34&gt;=Config!$D$17,COUNTIF($P34:$T34,$P34)=1),Config!$D$9,Config!$D$6),IF(AND($J34&lt;&gt;"",$J34=Partite!$I34),IF(AND($B34&gt;=Config!$D$17,COUNTIF($J34:$N34,$J34)=1),Config!$D$10,Config!$D$7),Config!$D$8)))</f>
        <v/>
      </c>
      <c r="E34" s="27">
        <f>IF(Partite!$K34&lt;&gt;"Giocata","",IF(AND(Pronostici!$I34&lt;&gt;"",Pronostici!$J34&lt;&gt;"",Pronostici!$I34=Partite!$G34,Pronostici!$J34=Partite!$H34),IF(AND($B34&gt;=Config!$D$17,COUNTIF($P34:$T34,$Q34)=1),Config!$D$9,Config!$D$6),IF(AND($K34&lt;&gt;"",$K34=Partite!$I34),IF(AND($B34&gt;=Config!$D$17,COUNTIF($J34:$N34,$K34)=1),Config!$D$10,Config!$D$7),Config!$D$8)))</f>
        <v/>
      </c>
      <c r="F34" s="27">
        <f>IF(Partite!$K34&lt;&gt;"Giocata","",IF(AND(Pronostici!$L34&lt;&gt;"",Pronostici!$M34&lt;&gt;"",Pronostici!$L34=Partite!$G34,Pronostici!$M34=Partite!$H34),IF(AND($B34&gt;=Config!$D$17,COUNTIF($P34:$T34,$R34)=1),Config!$D$9,Config!$D$6),IF(AND($L34&lt;&gt;"",$L34=Partite!$I34),IF(AND($B34&gt;=Config!$D$17,COUNTIF($J34:$N34,$L34)=1),Config!$D$10,Config!$D$7),Config!$D$8)))</f>
        <v/>
      </c>
      <c r="G34" s="27">
        <f>IF(Partite!$K34&lt;&gt;"Giocata","",IF(AND(Pronostici!$O34&lt;&gt;"",Pronostici!$P34&lt;&gt;"",Pronostici!$O34=Partite!$G34,Pronostici!$P34=Partite!$H34),IF(AND($B34&gt;=Config!$D$17,COUNTIF($P34:$T34,$S34)=1),Config!$D$9,Config!$D$6),IF(AND($M34&lt;&gt;"",$M34=Partite!$I34),IF(AND($B34&gt;=Config!$D$17,COUNTIF($J34:$N34,$M34)=1),Config!$D$10,Config!$D$7),Config!$D$8)))</f>
        <v/>
      </c>
      <c r="H34" s="27">
        <f>IF(Partite!$K34&lt;&gt;"Giocata","",IF(AND(Pronostici!$R34&lt;&gt;"",Pronostici!$S34&lt;&gt;"",Pronostici!$R34=Partite!$G34,Pronostici!$S34=Partite!$H34),IF(AND($B34&gt;=Config!$D$17,COUNTIF($P34:$T34,$T34)=1),Config!$D$9,Config!$D$6),IF(AND($N34&lt;&gt;"",$N34=Partite!$I34),IF(AND($B34&gt;=Config!$D$17,COUNTIF($J34:$N34,$N34)=1),Config!$D$10,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c r="P34" s="63">
        <f>IF(OR(Pronostici!$F34="",Pronostici!$G34=""),"",Pronostici!$F34&amp;" a "&amp;Pronostici!$G34)</f>
        <v/>
      </c>
      <c r="Q34" s="63">
        <f>IF(OR(Pronostici!$I34="",Pronostici!$J34=""),"",Pronostici!$I34&amp;" a "&amp;Pronostici!$J34)</f>
        <v/>
      </c>
      <c r="R34" s="63">
        <f>IF(OR(Pronostici!$L34="",Pronostici!$M34=""),"",Pronostici!$L34&amp;" a "&amp;Pronostici!$M34)</f>
        <v/>
      </c>
      <c r="S34" s="63">
        <f>IF(OR(Pronostici!$O34="",Pronostici!$P34=""),"",Pronostici!$O34&amp;" a "&amp;Pronostici!$P34)</f>
        <v/>
      </c>
      <c r="T34" s="63">
        <f>IF(OR(Pronostici!$R34="",Pronostici!$S34=""),"",Pronostici!$R34&amp;" a "&amp;Pronostici!$S34)</f>
        <v/>
      </c>
    </row>
    <row r="35">
      <c r="A35" s="74">
        <f>Partite!$A35</f>
        <v/>
      </c>
      <c r="B35" s="30">
        <f>Partite!$B35</f>
        <v/>
      </c>
      <c r="C35" s="47">
        <f>IF(Partite!$E35="","",Partite!$E35&amp;"  -  "&amp;Partite!$F35)</f>
        <v/>
      </c>
      <c r="D35" s="27">
        <f>IF(Partite!$K35&lt;&gt;"Giocata","",IF(AND(Pronostici!$F35&lt;&gt;"",Pronostici!$G35&lt;&gt;"",Pronostici!$F35=Partite!$G35,Pronostici!$G35=Partite!$H35),IF(AND($B35&gt;=Config!$D$17,COUNTIF($P35:$T35,$P35)=1),Config!$D$9,Config!$D$6),IF(AND($J35&lt;&gt;"",$J35=Partite!$I35),IF(AND($B35&gt;=Config!$D$17,COUNTIF($J35:$N35,$J35)=1),Config!$D$10,Config!$D$7),Config!$D$8)))</f>
        <v/>
      </c>
      <c r="E35" s="27">
        <f>IF(Partite!$K35&lt;&gt;"Giocata","",IF(AND(Pronostici!$I35&lt;&gt;"",Pronostici!$J35&lt;&gt;"",Pronostici!$I35=Partite!$G35,Pronostici!$J35=Partite!$H35),IF(AND($B35&gt;=Config!$D$17,COUNTIF($P35:$T35,$Q35)=1),Config!$D$9,Config!$D$6),IF(AND($K35&lt;&gt;"",$K35=Partite!$I35),IF(AND($B35&gt;=Config!$D$17,COUNTIF($J35:$N35,$K35)=1),Config!$D$10,Config!$D$7),Config!$D$8)))</f>
        <v/>
      </c>
      <c r="F35" s="27">
        <f>IF(Partite!$K35&lt;&gt;"Giocata","",IF(AND(Pronostici!$L35&lt;&gt;"",Pronostici!$M35&lt;&gt;"",Pronostici!$L35=Partite!$G35,Pronostici!$M35=Partite!$H35),IF(AND($B35&gt;=Config!$D$17,COUNTIF($P35:$T35,$R35)=1),Config!$D$9,Config!$D$6),IF(AND($L35&lt;&gt;"",$L35=Partite!$I35),IF(AND($B35&gt;=Config!$D$17,COUNTIF($J35:$N35,$L35)=1),Config!$D$10,Config!$D$7),Config!$D$8)))</f>
        <v/>
      </c>
      <c r="G35" s="27">
        <f>IF(Partite!$K35&lt;&gt;"Giocata","",IF(AND(Pronostici!$O35&lt;&gt;"",Pronostici!$P35&lt;&gt;"",Pronostici!$O35=Partite!$G35,Pronostici!$P35=Partite!$H35),IF(AND($B35&gt;=Config!$D$17,COUNTIF($P35:$T35,$S35)=1),Config!$D$9,Config!$D$6),IF(AND($M35&lt;&gt;"",$M35=Partite!$I35),IF(AND($B35&gt;=Config!$D$17,COUNTIF($J35:$N35,$M35)=1),Config!$D$10,Config!$D$7),Config!$D$8)))</f>
        <v/>
      </c>
      <c r="H35" s="27">
        <f>IF(Partite!$K35&lt;&gt;"Giocata","",IF(AND(Pronostici!$R35&lt;&gt;"",Pronostici!$S35&lt;&gt;"",Pronostici!$R35=Partite!$G35,Pronostici!$S35=Partite!$H35),IF(AND($B35&gt;=Config!$D$17,COUNTIF($P35:$T35,$T35)=1),Config!$D$9,Config!$D$6),IF(AND($N35&lt;&gt;"",$N35=Partite!$I35),IF(AND($B35&gt;=Config!$D$17,COUNTIF($J35:$N35,$N35)=1),Config!$D$10,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c r="P35" s="63">
        <f>IF(OR(Pronostici!$F35="",Pronostici!$G35=""),"",Pronostici!$F35&amp;" a "&amp;Pronostici!$G35)</f>
        <v/>
      </c>
      <c r="Q35" s="63">
        <f>IF(OR(Pronostici!$I35="",Pronostici!$J35=""),"",Pronostici!$I35&amp;" a "&amp;Pronostici!$J35)</f>
        <v/>
      </c>
      <c r="R35" s="63">
        <f>IF(OR(Pronostici!$L35="",Pronostici!$M35=""),"",Pronostici!$L35&amp;" a "&amp;Pronostici!$M35)</f>
        <v/>
      </c>
      <c r="S35" s="63">
        <f>IF(OR(Pronostici!$O35="",Pronostici!$P35=""),"",Pronostici!$O35&amp;" a "&amp;Pronostici!$P35)</f>
        <v/>
      </c>
      <c r="T35" s="63">
        <f>IF(OR(Pronostici!$R35="",Pronostici!$S35=""),"",Pronostici!$R35&amp;" a "&amp;Pronostici!$S35)</f>
        <v/>
      </c>
    </row>
    <row r="36">
      <c r="A36" s="74">
        <f>Partite!$A36</f>
        <v/>
      </c>
      <c r="B36" s="30">
        <f>Partite!$B36</f>
        <v/>
      </c>
      <c r="C36" s="47">
        <f>IF(Partite!$E36="","",Partite!$E36&amp;"  -  "&amp;Partite!$F36)</f>
        <v/>
      </c>
      <c r="D36" s="27">
        <f>IF(Partite!$K36&lt;&gt;"Giocata","",IF(AND(Pronostici!$F36&lt;&gt;"",Pronostici!$G36&lt;&gt;"",Pronostici!$F36=Partite!$G36,Pronostici!$G36=Partite!$H36),IF(AND($B36&gt;=Config!$D$17,COUNTIF($P36:$T36,$P36)=1),Config!$D$9,Config!$D$6),IF(AND($J36&lt;&gt;"",$J36=Partite!$I36),IF(AND($B36&gt;=Config!$D$17,COUNTIF($J36:$N36,$J36)=1),Config!$D$10,Config!$D$7),Config!$D$8)))</f>
        <v/>
      </c>
      <c r="E36" s="27">
        <f>IF(Partite!$K36&lt;&gt;"Giocata","",IF(AND(Pronostici!$I36&lt;&gt;"",Pronostici!$J36&lt;&gt;"",Pronostici!$I36=Partite!$G36,Pronostici!$J36=Partite!$H36),IF(AND($B36&gt;=Config!$D$17,COUNTIF($P36:$T36,$Q36)=1),Config!$D$9,Config!$D$6),IF(AND($K36&lt;&gt;"",$K36=Partite!$I36),IF(AND($B36&gt;=Config!$D$17,COUNTIF($J36:$N36,$K36)=1),Config!$D$10,Config!$D$7),Config!$D$8)))</f>
        <v/>
      </c>
      <c r="F36" s="27">
        <f>IF(Partite!$K36&lt;&gt;"Giocata","",IF(AND(Pronostici!$L36&lt;&gt;"",Pronostici!$M36&lt;&gt;"",Pronostici!$L36=Partite!$G36,Pronostici!$M36=Partite!$H36),IF(AND($B36&gt;=Config!$D$17,COUNTIF($P36:$T36,$R36)=1),Config!$D$9,Config!$D$6),IF(AND($L36&lt;&gt;"",$L36=Partite!$I36),IF(AND($B36&gt;=Config!$D$17,COUNTIF($J36:$N36,$L36)=1),Config!$D$10,Config!$D$7),Config!$D$8)))</f>
        <v/>
      </c>
      <c r="G36" s="27">
        <f>IF(Partite!$K36&lt;&gt;"Giocata","",IF(AND(Pronostici!$O36&lt;&gt;"",Pronostici!$P36&lt;&gt;"",Pronostici!$O36=Partite!$G36,Pronostici!$P36=Partite!$H36),IF(AND($B36&gt;=Config!$D$17,COUNTIF($P36:$T36,$S36)=1),Config!$D$9,Config!$D$6),IF(AND($M36&lt;&gt;"",$M36=Partite!$I36),IF(AND($B36&gt;=Config!$D$17,COUNTIF($J36:$N36,$M36)=1),Config!$D$10,Config!$D$7),Config!$D$8)))</f>
        <v/>
      </c>
      <c r="H36" s="27">
        <f>IF(Partite!$K36&lt;&gt;"Giocata","",IF(AND(Pronostici!$R36&lt;&gt;"",Pronostici!$S36&lt;&gt;"",Pronostici!$R36=Partite!$G36,Pronostici!$S36=Partite!$H36),IF(AND($B36&gt;=Config!$D$17,COUNTIF($P36:$T36,$T36)=1),Config!$D$9,Config!$D$6),IF(AND($N36&lt;&gt;"",$N36=Partite!$I36),IF(AND($B36&gt;=Config!$D$17,COUNTIF($J36:$N36,$N36)=1),Config!$D$10,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c r="P36" s="63">
        <f>IF(OR(Pronostici!$F36="",Pronostici!$G36=""),"",Pronostici!$F36&amp;" a "&amp;Pronostici!$G36)</f>
        <v/>
      </c>
      <c r="Q36" s="63">
        <f>IF(OR(Pronostici!$I36="",Pronostici!$J36=""),"",Pronostici!$I36&amp;" a "&amp;Pronostici!$J36)</f>
        <v/>
      </c>
      <c r="R36" s="63">
        <f>IF(OR(Pronostici!$L36="",Pronostici!$M36=""),"",Pronostici!$L36&amp;" a "&amp;Pronostici!$M36)</f>
        <v/>
      </c>
      <c r="S36" s="63">
        <f>IF(OR(Pronostici!$O36="",Pronostici!$P36=""),"",Pronostici!$O36&amp;" a "&amp;Pronostici!$P36)</f>
        <v/>
      </c>
      <c r="T36" s="63">
        <f>IF(OR(Pronostici!$R36="",Pronostici!$S36=""),"",Pronostici!$R36&amp;" a "&amp;Pronostici!$S36)</f>
        <v/>
      </c>
    </row>
    <row r="37">
      <c r="A37" s="74">
        <f>Partite!$A37</f>
        <v/>
      </c>
      <c r="B37" s="30">
        <f>Partite!$B37</f>
        <v/>
      </c>
      <c r="C37" s="47">
        <f>IF(Partite!$E37="","",Partite!$E37&amp;"  -  "&amp;Partite!$F37)</f>
        <v/>
      </c>
      <c r="D37" s="27">
        <f>IF(Partite!$K37&lt;&gt;"Giocata","",IF(AND(Pronostici!$F37&lt;&gt;"",Pronostici!$G37&lt;&gt;"",Pronostici!$F37=Partite!$G37,Pronostici!$G37=Partite!$H37),IF(AND($B37&gt;=Config!$D$17,COUNTIF($P37:$T37,$P37)=1),Config!$D$9,Config!$D$6),IF(AND($J37&lt;&gt;"",$J37=Partite!$I37),IF(AND($B37&gt;=Config!$D$17,COUNTIF($J37:$N37,$J37)=1),Config!$D$10,Config!$D$7),Config!$D$8)))</f>
        <v/>
      </c>
      <c r="E37" s="27">
        <f>IF(Partite!$K37&lt;&gt;"Giocata","",IF(AND(Pronostici!$I37&lt;&gt;"",Pronostici!$J37&lt;&gt;"",Pronostici!$I37=Partite!$G37,Pronostici!$J37=Partite!$H37),IF(AND($B37&gt;=Config!$D$17,COUNTIF($P37:$T37,$Q37)=1),Config!$D$9,Config!$D$6),IF(AND($K37&lt;&gt;"",$K37=Partite!$I37),IF(AND($B37&gt;=Config!$D$17,COUNTIF($J37:$N37,$K37)=1),Config!$D$10,Config!$D$7),Config!$D$8)))</f>
        <v/>
      </c>
      <c r="F37" s="27">
        <f>IF(Partite!$K37&lt;&gt;"Giocata","",IF(AND(Pronostici!$L37&lt;&gt;"",Pronostici!$M37&lt;&gt;"",Pronostici!$L37=Partite!$G37,Pronostici!$M37=Partite!$H37),IF(AND($B37&gt;=Config!$D$17,COUNTIF($P37:$T37,$R37)=1),Config!$D$9,Config!$D$6),IF(AND($L37&lt;&gt;"",$L37=Partite!$I37),IF(AND($B37&gt;=Config!$D$17,COUNTIF($J37:$N37,$L37)=1),Config!$D$10,Config!$D$7),Config!$D$8)))</f>
        <v/>
      </c>
      <c r="G37" s="27">
        <f>IF(Partite!$K37&lt;&gt;"Giocata","",IF(AND(Pronostici!$O37&lt;&gt;"",Pronostici!$P37&lt;&gt;"",Pronostici!$O37=Partite!$G37,Pronostici!$P37=Partite!$H37),IF(AND($B37&gt;=Config!$D$17,COUNTIF($P37:$T37,$S37)=1),Config!$D$9,Config!$D$6),IF(AND($M37&lt;&gt;"",$M37=Partite!$I37),IF(AND($B37&gt;=Config!$D$17,COUNTIF($J37:$N37,$M37)=1),Config!$D$10,Config!$D$7),Config!$D$8)))</f>
        <v/>
      </c>
      <c r="H37" s="27">
        <f>IF(Partite!$K37&lt;&gt;"Giocata","",IF(AND(Pronostici!$R37&lt;&gt;"",Pronostici!$S37&lt;&gt;"",Pronostici!$R37=Partite!$G37,Pronostici!$S37=Partite!$H37),IF(AND($B37&gt;=Config!$D$17,COUNTIF($P37:$T37,$T37)=1),Config!$D$9,Config!$D$6),IF(AND($N37&lt;&gt;"",$N37=Partite!$I37),IF(AND($B37&gt;=Config!$D$17,COUNTIF($J37:$N37,$N37)=1),Config!$D$10,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c r="P37" s="63">
        <f>IF(OR(Pronostici!$F37="",Pronostici!$G37=""),"",Pronostici!$F37&amp;" a "&amp;Pronostici!$G37)</f>
        <v/>
      </c>
      <c r="Q37" s="63">
        <f>IF(OR(Pronostici!$I37="",Pronostici!$J37=""),"",Pronostici!$I37&amp;" a "&amp;Pronostici!$J37)</f>
        <v/>
      </c>
      <c r="R37" s="63">
        <f>IF(OR(Pronostici!$L37="",Pronostici!$M37=""),"",Pronostici!$L37&amp;" a "&amp;Pronostici!$M37)</f>
        <v/>
      </c>
      <c r="S37" s="63">
        <f>IF(OR(Pronostici!$O37="",Pronostici!$P37=""),"",Pronostici!$O37&amp;" a "&amp;Pronostici!$P37)</f>
        <v/>
      </c>
      <c r="T37" s="63">
        <f>IF(OR(Pronostici!$R37="",Pronostici!$S37=""),"",Pronostici!$R37&amp;" a "&amp;Pronostici!$S37)</f>
        <v/>
      </c>
    </row>
    <row r="38">
      <c r="A38" s="74">
        <f>Partite!$A38</f>
        <v/>
      </c>
      <c r="B38" s="30">
        <f>Partite!$B38</f>
        <v/>
      </c>
      <c r="C38" s="47">
        <f>IF(Partite!$E38="","",Partite!$E38&amp;"  -  "&amp;Partite!$F38)</f>
        <v/>
      </c>
      <c r="D38" s="27">
        <f>IF(Partite!$K38&lt;&gt;"Giocata","",IF(AND(Pronostici!$F38&lt;&gt;"",Pronostici!$G38&lt;&gt;"",Pronostici!$F38=Partite!$G38,Pronostici!$G38=Partite!$H38),IF(AND($B38&gt;=Config!$D$17,COUNTIF($P38:$T38,$P38)=1),Config!$D$9,Config!$D$6),IF(AND($J38&lt;&gt;"",$J38=Partite!$I38),IF(AND($B38&gt;=Config!$D$17,COUNTIF($J38:$N38,$J38)=1),Config!$D$10,Config!$D$7),Config!$D$8)))</f>
        <v/>
      </c>
      <c r="E38" s="27">
        <f>IF(Partite!$K38&lt;&gt;"Giocata","",IF(AND(Pronostici!$I38&lt;&gt;"",Pronostici!$J38&lt;&gt;"",Pronostici!$I38=Partite!$G38,Pronostici!$J38=Partite!$H38),IF(AND($B38&gt;=Config!$D$17,COUNTIF($P38:$T38,$Q38)=1),Config!$D$9,Config!$D$6),IF(AND($K38&lt;&gt;"",$K38=Partite!$I38),IF(AND($B38&gt;=Config!$D$17,COUNTIF($J38:$N38,$K38)=1),Config!$D$10,Config!$D$7),Config!$D$8)))</f>
        <v/>
      </c>
      <c r="F38" s="27">
        <f>IF(Partite!$K38&lt;&gt;"Giocata","",IF(AND(Pronostici!$L38&lt;&gt;"",Pronostici!$M38&lt;&gt;"",Pronostici!$L38=Partite!$G38,Pronostici!$M38=Partite!$H38),IF(AND($B38&gt;=Config!$D$17,COUNTIF($P38:$T38,$R38)=1),Config!$D$9,Config!$D$6),IF(AND($L38&lt;&gt;"",$L38=Partite!$I38),IF(AND($B38&gt;=Config!$D$17,COUNTIF($J38:$N38,$L38)=1),Config!$D$10,Config!$D$7),Config!$D$8)))</f>
        <v/>
      </c>
      <c r="G38" s="27">
        <f>IF(Partite!$K38&lt;&gt;"Giocata","",IF(AND(Pronostici!$O38&lt;&gt;"",Pronostici!$P38&lt;&gt;"",Pronostici!$O38=Partite!$G38,Pronostici!$P38=Partite!$H38),IF(AND($B38&gt;=Config!$D$17,COUNTIF($P38:$T38,$S38)=1),Config!$D$9,Config!$D$6),IF(AND($M38&lt;&gt;"",$M38=Partite!$I38),IF(AND($B38&gt;=Config!$D$17,COUNTIF($J38:$N38,$M38)=1),Config!$D$10,Config!$D$7),Config!$D$8)))</f>
        <v/>
      </c>
      <c r="H38" s="27">
        <f>IF(Partite!$K38&lt;&gt;"Giocata","",IF(AND(Pronostici!$R38&lt;&gt;"",Pronostici!$S38&lt;&gt;"",Pronostici!$R38=Partite!$G38,Pronostici!$S38=Partite!$H38),IF(AND($B38&gt;=Config!$D$17,COUNTIF($P38:$T38,$T38)=1),Config!$D$9,Config!$D$6),IF(AND($N38&lt;&gt;"",$N38=Partite!$I38),IF(AND($B38&gt;=Config!$D$17,COUNTIF($J38:$N38,$N38)=1),Config!$D$10,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c r="P38" s="63">
        <f>IF(OR(Pronostici!$F38="",Pronostici!$G38=""),"",Pronostici!$F38&amp;" a "&amp;Pronostici!$G38)</f>
        <v/>
      </c>
      <c r="Q38" s="63">
        <f>IF(OR(Pronostici!$I38="",Pronostici!$J38=""),"",Pronostici!$I38&amp;" a "&amp;Pronostici!$J38)</f>
        <v/>
      </c>
      <c r="R38" s="63">
        <f>IF(OR(Pronostici!$L38="",Pronostici!$M38=""),"",Pronostici!$L38&amp;" a "&amp;Pronostici!$M38)</f>
        <v/>
      </c>
      <c r="S38" s="63">
        <f>IF(OR(Pronostici!$O38="",Pronostici!$P38=""),"",Pronostici!$O38&amp;" a "&amp;Pronostici!$P38)</f>
        <v/>
      </c>
      <c r="T38" s="63">
        <f>IF(OR(Pronostici!$R38="",Pronostici!$S38=""),"",Pronostici!$R38&amp;" a "&amp;Pronostici!$S38)</f>
        <v/>
      </c>
    </row>
    <row r="39">
      <c r="A39" s="74">
        <f>Partite!$A39</f>
        <v/>
      </c>
      <c r="B39" s="30">
        <f>Partite!$B39</f>
        <v/>
      </c>
      <c r="C39" s="47">
        <f>IF(Partite!$E39="","",Partite!$E39&amp;"  -  "&amp;Partite!$F39)</f>
        <v/>
      </c>
      <c r="D39" s="27">
        <f>IF(Partite!$K39&lt;&gt;"Giocata","",IF(AND(Pronostici!$F39&lt;&gt;"",Pronostici!$G39&lt;&gt;"",Pronostici!$F39=Partite!$G39,Pronostici!$G39=Partite!$H39),IF(AND($B39&gt;=Config!$D$17,COUNTIF($P39:$T39,$P39)=1),Config!$D$9,Config!$D$6),IF(AND($J39&lt;&gt;"",$J39=Partite!$I39),IF(AND($B39&gt;=Config!$D$17,COUNTIF($J39:$N39,$J39)=1),Config!$D$10,Config!$D$7),Config!$D$8)))</f>
        <v/>
      </c>
      <c r="E39" s="27">
        <f>IF(Partite!$K39&lt;&gt;"Giocata","",IF(AND(Pronostici!$I39&lt;&gt;"",Pronostici!$J39&lt;&gt;"",Pronostici!$I39=Partite!$G39,Pronostici!$J39=Partite!$H39),IF(AND($B39&gt;=Config!$D$17,COUNTIF($P39:$T39,$Q39)=1),Config!$D$9,Config!$D$6),IF(AND($K39&lt;&gt;"",$K39=Partite!$I39),IF(AND($B39&gt;=Config!$D$17,COUNTIF($J39:$N39,$K39)=1),Config!$D$10,Config!$D$7),Config!$D$8)))</f>
        <v/>
      </c>
      <c r="F39" s="27">
        <f>IF(Partite!$K39&lt;&gt;"Giocata","",IF(AND(Pronostici!$L39&lt;&gt;"",Pronostici!$M39&lt;&gt;"",Pronostici!$L39=Partite!$G39,Pronostici!$M39=Partite!$H39),IF(AND($B39&gt;=Config!$D$17,COUNTIF($P39:$T39,$R39)=1),Config!$D$9,Config!$D$6),IF(AND($L39&lt;&gt;"",$L39=Partite!$I39),IF(AND($B39&gt;=Config!$D$17,COUNTIF($J39:$N39,$L39)=1),Config!$D$10,Config!$D$7),Config!$D$8)))</f>
        <v/>
      </c>
      <c r="G39" s="27">
        <f>IF(Partite!$K39&lt;&gt;"Giocata","",IF(AND(Pronostici!$O39&lt;&gt;"",Pronostici!$P39&lt;&gt;"",Pronostici!$O39=Partite!$G39,Pronostici!$P39=Partite!$H39),IF(AND($B39&gt;=Config!$D$17,COUNTIF($P39:$T39,$S39)=1),Config!$D$9,Config!$D$6),IF(AND($M39&lt;&gt;"",$M39=Partite!$I39),IF(AND($B39&gt;=Config!$D$17,COUNTIF($J39:$N39,$M39)=1),Config!$D$10,Config!$D$7),Config!$D$8)))</f>
        <v/>
      </c>
      <c r="H39" s="27">
        <f>IF(Partite!$K39&lt;&gt;"Giocata","",IF(AND(Pronostici!$R39&lt;&gt;"",Pronostici!$S39&lt;&gt;"",Pronostici!$R39=Partite!$G39,Pronostici!$S39=Partite!$H39),IF(AND($B39&gt;=Config!$D$17,COUNTIF($P39:$T39,$T39)=1),Config!$D$9,Config!$D$6),IF(AND($N39&lt;&gt;"",$N39=Partite!$I39),IF(AND($B39&gt;=Config!$D$17,COUNTIF($J39:$N39,$N39)=1),Config!$D$10,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c r="P39" s="63">
        <f>IF(OR(Pronostici!$F39="",Pronostici!$G39=""),"",Pronostici!$F39&amp;" a "&amp;Pronostici!$G39)</f>
        <v/>
      </c>
      <c r="Q39" s="63">
        <f>IF(OR(Pronostici!$I39="",Pronostici!$J39=""),"",Pronostici!$I39&amp;" a "&amp;Pronostici!$J39)</f>
        <v/>
      </c>
      <c r="R39" s="63">
        <f>IF(OR(Pronostici!$L39="",Pronostici!$M39=""),"",Pronostici!$L39&amp;" a "&amp;Pronostici!$M39)</f>
        <v/>
      </c>
      <c r="S39" s="63">
        <f>IF(OR(Pronostici!$O39="",Pronostici!$P39=""),"",Pronostici!$O39&amp;" a "&amp;Pronostici!$P39)</f>
        <v/>
      </c>
      <c r="T39" s="63">
        <f>IF(OR(Pronostici!$R39="",Pronostici!$S39=""),"",Pronostici!$R39&amp;" a "&amp;Pronostici!$S39)</f>
        <v/>
      </c>
    </row>
    <row r="40">
      <c r="A40" s="74">
        <f>Partite!$A40</f>
        <v/>
      </c>
      <c r="B40" s="30">
        <f>Partite!$B40</f>
        <v/>
      </c>
      <c r="C40" s="47">
        <f>IF(Partite!$E40="","",Partite!$E40&amp;"  -  "&amp;Partite!$F40)</f>
        <v/>
      </c>
      <c r="D40" s="27">
        <f>IF(Partite!$K40&lt;&gt;"Giocata","",IF(AND(Pronostici!$F40&lt;&gt;"",Pronostici!$G40&lt;&gt;"",Pronostici!$F40=Partite!$G40,Pronostici!$G40=Partite!$H40),IF(AND($B40&gt;=Config!$D$17,COUNTIF($P40:$T40,$P40)=1),Config!$D$9,Config!$D$6),IF(AND($J40&lt;&gt;"",$J40=Partite!$I40),IF(AND($B40&gt;=Config!$D$17,COUNTIF($J40:$N40,$J40)=1),Config!$D$10,Config!$D$7),Config!$D$8)))</f>
        <v/>
      </c>
      <c r="E40" s="27">
        <f>IF(Partite!$K40&lt;&gt;"Giocata","",IF(AND(Pronostici!$I40&lt;&gt;"",Pronostici!$J40&lt;&gt;"",Pronostici!$I40=Partite!$G40,Pronostici!$J40=Partite!$H40),IF(AND($B40&gt;=Config!$D$17,COUNTIF($P40:$T40,$Q40)=1),Config!$D$9,Config!$D$6),IF(AND($K40&lt;&gt;"",$K40=Partite!$I40),IF(AND($B40&gt;=Config!$D$17,COUNTIF($J40:$N40,$K40)=1),Config!$D$10,Config!$D$7),Config!$D$8)))</f>
        <v/>
      </c>
      <c r="F40" s="27">
        <f>IF(Partite!$K40&lt;&gt;"Giocata","",IF(AND(Pronostici!$L40&lt;&gt;"",Pronostici!$M40&lt;&gt;"",Pronostici!$L40=Partite!$G40,Pronostici!$M40=Partite!$H40),IF(AND($B40&gt;=Config!$D$17,COUNTIF($P40:$T40,$R40)=1),Config!$D$9,Config!$D$6),IF(AND($L40&lt;&gt;"",$L40=Partite!$I40),IF(AND($B40&gt;=Config!$D$17,COUNTIF($J40:$N40,$L40)=1),Config!$D$10,Config!$D$7),Config!$D$8)))</f>
        <v/>
      </c>
      <c r="G40" s="27">
        <f>IF(Partite!$K40&lt;&gt;"Giocata","",IF(AND(Pronostici!$O40&lt;&gt;"",Pronostici!$P40&lt;&gt;"",Pronostici!$O40=Partite!$G40,Pronostici!$P40=Partite!$H40),IF(AND($B40&gt;=Config!$D$17,COUNTIF($P40:$T40,$S40)=1),Config!$D$9,Config!$D$6),IF(AND($M40&lt;&gt;"",$M40=Partite!$I40),IF(AND($B40&gt;=Config!$D$17,COUNTIF($J40:$N40,$M40)=1),Config!$D$10,Config!$D$7),Config!$D$8)))</f>
        <v/>
      </c>
      <c r="H40" s="27">
        <f>IF(Partite!$K40&lt;&gt;"Giocata","",IF(AND(Pronostici!$R40&lt;&gt;"",Pronostici!$S40&lt;&gt;"",Pronostici!$R40=Partite!$G40,Pronostici!$S40=Partite!$H40),IF(AND($B40&gt;=Config!$D$17,COUNTIF($P40:$T40,$T40)=1),Config!$D$9,Config!$D$6),IF(AND($N40&lt;&gt;"",$N40=Partite!$I40),IF(AND($B40&gt;=Config!$D$17,COUNTIF($J40:$N40,$N40)=1),Config!$D$10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c r="P40" s="63">
        <f>IF(OR(Pronostici!$F40="",Pronostici!$G40=""),"",Pronostici!$F40&amp;" a "&amp;Pronostici!$G40)</f>
        <v/>
      </c>
      <c r="Q40" s="63">
        <f>IF(OR(Pronostici!$I40="",Pronostici!$J40=""),"",Pronostici!$I40&amp;" a "&amp;Pronostici!$J40)</f>
        <v/>
      </c>
      <c r="R40" s="63">
        <f>IF(OR(Pronostici!$L40="",Pronostici!$M40=""),"",Pronostici!$L40&amp;" a "&amp;Pronostici!$M40)</f>
        <v/>
      </c>
      <c r="S40" s="63">
        <f>IF(OR(Pronostici!$O40="",Pronostici!$P40=""),"",Pronostici!$O40&amp;" a "&amp;Pronostici!$P40)</f>
        <v/>
      </c>
      <c r="T40" s="63">
        <f>IF(OR(Pronostici!$R40="",Pronostici!$S40=""),"",Pronostici!$R40&amp;" a "&amp;Pronostici!$S40)</f>
        <v/>
      </c>
    </row>
    <row r="41">
      <c r="A41" s="74">
        <f>Partite!$A41</f>
        <v/>
      </c>
      <c r="B41" s="30">
        <f>Partite!$B41</f>
        <v/>
      </c>
      <c r="C41" s="47">
        <f>IF(Partite!$E41="","",Partite!$E41&amp;"  -  "&amp;Partite!$F41)</f>
        <v/>
      </c>
      <c r="D41" s="27">
        <f>IF(Partite!$K41&lt;&gt;"Giocata","",IF(AND(Pronostici!$F41&lt;&gt;"",Pronostici!$G41&lt;&gt;"",Pronostici!$F41=Partite!$G41,Pronostici!$G41=Partite!$H41),IF(AND($B41&gt;=Config!$D$17,COUNTIF($P41:$T41,$P41)=1),Config!$D$9,Config!$D$6),IF(AND($J41&lt;&gt;"",$J41=Partite!$I41),IF(AND($B41&gt;=Config!$D$17,COUNTIF($J41:$N41,$J41)=1),Config!$D$10,Config!$D$7),Config!$D$8)))</f>
        <v/>
      </c>
      <c r="E41" s="27">
        <f>IF(Partite!$K41&lt;&gt;"Giocata","",IF(AND(Pronostici!$I41&lt;&gt;"",Pronostici!$J41&lt;&gt;"",Pronostici!$I41=Partite!$G41,Pronostici!$J41=Partite!$H41),IF(AND($B41&gt;=Config!$D$17,COUNTIF($P41:$T41,$Q41)=1),Config!$D$9,Config!$D$6),IF(AND($K41&lt;&gt;"",$K41=Partite!$I41),IF(AND($B41&gt;=Config!$D$17,COUNTIF($J41:$N41,$K41)=1),Config!$D$10,Config!$D$7),Config!$D$8)))</f>
        <v/>
      </c>
      <c r="F41" s="27">
        <f>IF(Partite!$K41&lt;&gt;"Giocata","",IF(AND(Pronostici!$L41&lt;&gt;"",Pronostici!$M41&lt;&gt;"",Pronostici!$L41=Partite!$G41,Pronostici!$M41=Partite!$H41),IF(AND($B41&gt;=Config!$D$17,COUNTIF($P41:$T41,$R41)=1),Config!$D$9,Config!$D$6),IF(AND($L41&lt;&gt;"",$L41=Partite!$I41),IF(AND($B41&gt;=Config!$D$17,COUNTIF($J41:$N41,$L41)=1),Config!$D$10,Config!$D$7),Config!$D$8)))</f>
        <v/>
      </c>
      <c r="G41" s="27">
        <f>IF(Partite!$K41&lt;&gt;"Giocata","",IF(AND(Pronostici!$O41&lt;&gt;"",Pronostici!$P41&lt;&gt;"",Pronostici!$O41=Partite!$G41,Pronostici!$P41=Partite!$H41),IF(AND($B41&gt;=Config!$D$17,COUNTIF($P41:$T41,$S41)=1),Config!$D$9,Config!$D$6),IF(AND($M41&lt;&gt;"",$M41=Partite!$I41),IF(AND($B41&gt;=Config!$D$17,COUNTIF($J41:$N41,$M41)=1),Config!$D$10,Config!$D$7),Config!$D$8)))</f>
        <v/>
      </c>
      <c r="H41" s="27">
        <f>IF(Partite!$K41&lt;&gt;"Giocata","",IF(AND(Pronostici!$R41&lt;&gt;"",Pronostici!$S41&lt;&gt;"",Pronostici!$R41=Partite!$G41,Pronostici!$S41=Partite!$H41),IF(AND($B41&gt;=Config!$D$17,COUNTIF($P41:$T41,$T41)=1),Config!$D$9,Config!$D$6),IF(AND($N41&lt;&gt;"",$N41=Partite!$I41),IF(AND($B41&gt;=Config!$D$17,COUNTIF($J41:$N41,$N41)=1),Config!$D$10,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c r="P41" s="63">
        <f>IF(OR(Pronostici!$F41="",Pronostici!$G41=""),"",Pronostici!$F41&amp;" a "&amp;Pronostici!$G41)</f>
        <v/>
      </c>
      <c r="Q41" s="63">
        <f>IF(OR(Pronostici!$I41="",Pronostici!$J41=""),"",Pronostici!$I41&amp;" a "&amp;Pronostici!$J41)</f>
        <v/>
      </c>
      <c r="R41" s="63">
        <f>IF(OR(Pronostici!$L41="",Pronostici!$M41=""),"",Pronostici!$L41&amp;" a "&amp;Pronostici!$M41)</f>
        <v/>
      </c>
      <c r="S41" s="63">
        <f>IF(OR(Pronostici!$O41="",Pronostici!$P41=""),"",Pronostici!$O41&amp;" a "&amp;Pronostici!$P41)</f>
        <v/>
      </c>
      <c r="T41" s="63">
        <f>IF(OR(Pronostici!$R41="",Pronostici!$S41=""),"",Pronostici!$R41&amp;" a "&amp;Pronostici!$S41)</f>
        <v/>
      </c>
    </row>
    <row r="42">
      <c r="A42" s="74">
        <f>Partite!$A42</f>
        <v/>
      </c>
      <c r="B42" s="30">
        <f>Partite!$B42</f>
        <v/>
      </c>
      <c r="C42" s="47">
        <f>IF(Partite!$E42="","",Partite!$E42&amp;"  -  "&amp;Partite!$F42)</f>
        <v/>
      </c>
      <c r="D42" s="27">
        <f>IF(Partite!$K42&lt;&gt;"Giocata","",IF(AND(Pronostici!$F42&lt;&gt;"",Pronostici!$G42&lt;&gt;"",Pronostici!$F42=Partite!$G42,Pronostici!$G42=Partite!$H42),IF(AND($B42&gt;=Config!$D$17,COUNTIF($P42:$T42,$P42)=1),Config!$D$9,Config!$D$6),IF(AND($J42&lt;&gt;"",$J42=Partite!$I42),IF(AND($B42&gt;=Config!$D$17,COUNTIF($J42:$N42,$J42)=1),Config!$D$10,Config!$D$7),Config!$D$8)))</f>
        <v/>
      </c>
      <c r="E42" s="27">
        <f>IF(Partite!$K42&lt;&gt;"Giocata","",IF(AND(Pronostici!$I42&lt;&gt;"",Pronostici!$J42&lt;&gt;"",Pronostici!$I42=Partite!$G42,Pronostici!$J42=Partite!$H42),IF(AND($B42&gt;=Config!$D$17,COUNTIF($P42:$T42,$Q42)=1),Config!$D$9,Config!$D$6),IF(AND($K42&lt;&gt;"",$K42=Partite!$I42),IF(AND($B42&gt;=Config!$D$17,COUNTIF($J42:$N42,$K42)=1),Config!$D$10,Config!$D$7),Config!$D$8)))</f>
        <v/>
      </c>
      <c r="F42" s="27">
        <f>IF(Partite!$K42&lt;&gt;"Giocata","",IF(AND(Pronostici!$L42&lt;&gt;"",Pronostici!$M42&lt;&gt;"",Pronostici!$L42=Partite!$G42,Pronostici!$M42=Partite!$H42),IF(AND($B42&gt;=Config!$D$17,COUNTIF($P42:$T42,$R42)=1),Config!$D$9,Config!$D$6),IF(AND($L42&lt;&gt;"",$L42=Partite!$I42),IF(AND($B42&gt;=Config!$D$17,COUNTIF($J42:$N42,$L42)=1),Config!$D$10,Config!$D$7),Config!$D$8)))</f>
        <v/>
      </c>
      <c r="G42" s="27">
        <f>IF(Partite!$K42&lt;&gt;"Giocata","",IF(AND(Pronostici!$O42&lt;&gt;"",Pronostici!$P42&lt;&gt;"",Pronostici!$O42=Partite!$G42,Pronostici!$P42=Partite!$H42),IF(AND($B42&gt;=Config!$D$17,COUNTIF($P42:$T42,$S42)=1),Config!$D$9,Config!$D$6),IF(AND($M42&lt;&gt;"",$M42=Partite!$I42),IF(AND($B42&gt;=Config!$D$17,COUNTIF($J42:$N42,$M42)=1),Config!$D$10,Config!$D$7),Config!$D$8)))</f>
        <v/>
      </c>
      <c r="H42" s="27">
        <f>IF(Partite!$K42&lt;&gt;"Giocata","",IF(AND(Pronostici!$R42&lt;&gt;"",Pronostici!$S42&lt;&gt;"",Pronostici!$R42=Partite!$G42,Pronostici!$S42=Partite!$H42),IF(AND($B42&gt;=Config!$D$17,COUNTIF($P42:$T42,$T42)=1),Config!$D$9,Config!$D$6),IF(AND($N42&lt;&gt;"",$N42=Partite!$I42),IF(AND($B42&gt;=Config!$D$17,COUNTIF($J42:$N42,$N42)=1),Config!$D$10,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c r="P42" s="63">
        <f>IF(OR(Pronostici!$F42="",Pronostici!$G42=""),"",Pronostici!$F42&amp;" a "&amp;Pronostici!$G42)</f>
        <v/>
      </c>
      <c r="Q42" s="63">
        <f>IF(OR(Pronostici!$I42="",Pronostici!$J42=""),"",Pronostici!$I42&amp;" a "&amp;Pronostici!$J42)</f>
        <v/>
      </c>
      <c r="R42" s="63">
        <f>IF(OR(Pronostici!$L42="",Pronostici!$M42=""),"",Pronostici!$L42&amp;" a "&amp;Pronostici!$M42)</f>
        <v/>
      </c>
      <c r="S42" s="63">
        <f>IF(OR(Pronostici!$O42="",Pronostici!$P42=""),"",Pronostici!$O42&amp;" a "&amp;Pronostici!$P42)</f>
        <v/>
      </c>
      <c r="T42" s="63">
        <f>IF(OR(Pronostici!$R42="",Pronostici!$S42=""),"",Pronostici!$R42&amp;" a "&amp;Pronostici!$S42)</f>
        <v/>
      </c>
    </row>
    <row r="43">
      <c r="A43" s="69">
        <f>Partite!$A43</f>
        <v/>
      </c>
      <c r="B43" s="25">
        <f>Partite!$B43</f>
        <v/>
      </c>
      <c r="C43" s="43">
        <f>IF(Partite!$E43="","",Partite!$E43&amp;"  -  "&amp;Partite!$F43)</f>
        <v/>
      </c>
      <c r="D43" s="22">
        <f>IF(Partite!$K43&lt;&gt;"Giocata","",IF(AND(Pronostici!$F43&lt;&gt;"",Pronostici!$G43&lt;&gt;"",Pronostici!$F43=Partite!$G43,Pronostici!$G43=Partite!$H43),IF(AND($B43&gt;=Config!$D$17,COUNTIF($P43:$T43,$P43)=1),Config!$D$9,Config!$D$6),IF(AND($J43&lt;&gt;"",$J43=Partite!$I43),IF(AND($B43&gt;=Config!$D$17,COUNTIF($J43:$N43,$J43)=1),Config!$D$10,Config!$D$7),Config!$D$8)))</f>
        <v/>
      </c>
      <c r="E43" s="22">
        <f>IF(Partite!$K43&lt;&gt;"Giocata","",IF(AND(Pronostici!$I43&lt;&gt;"",Pronostici!$J43&lt;&gt;"",Pronostici!$I43=Partite!$G43,Pronostici!$J43=Partite!$H43),IF(AND($B43&gt;=Config!$D$17,COUNTIF($P43:$T43,$Q43)=1),Config!$D$9,Config!$D$6),IF(AND($K43&lt;&gt;"",$K43=Partite!$I43),IF(AND($B43&gt;=Config!$D$17,COUNTIF($J43:$N43,$K43)=1),Config!$D$10,Config!$D$7),Config!$D$8)))</f>
        <v/>
      </c>
      <c r="F43" s="22">
        <f>IF(Partite!$K43&lt;&gt;"Giocata","",IF(AND(Pronostici!$L43&lt;&gt;"",Pronostici!$M43&lt;&gt;"",Pronostici!$L43=Partite!$G43,Pronostici!$M43=Partite!$H43),IF(AND($B43&gt;=Config!$D$17,COUNTIF($P43:$T43,$R43)=1),Config!$D$9,Config!$D$6),IF(AND($L43&lt;&gt;"",$L43=Partite!$I43),IF(AND($B43&gt;=Config!$D$17,COUNTIF($J43:$N43,$L43)=1),Config!$D$10,Config!$D$7),Config!$D$8)))</f>
        <v/>
      </c>
      <c r="G43" s="22">
        <f>IF(Partite!$K43&lt;&gt;"Giocata","",IF(AND(Pronostici!$O43&lt;&gt;"",Pronostici!$P43&lt;&gt;"",Pronostici!$O43=Partite!$G43,Pronostici!$P43=Partite!$H43),IF(AND($B43&gt;=Config!$D$17,COUNTIF($P43:$T43,$S43)=1),Config!$D$9,Config!$D$6),IF(AND($M43&lt;&gt;"",$M43=Partite!$I43),IF(AND($B43&gt;=Config!$D$17,COUNTIF($J43:$N43,$M43)=1),Config!$D$10,Config!$D$7),Config!$D$8)))</f>
        <v/>
      </c>
      <c r="H43" s="22">
        <f>IF(Partite!$K43&lt;&gt;"Giocata","",IF(AND(Pronostici!$R43&lt;&gt;"",Pronostici!$S43&lt;&gt;"",Pronostici!$R43=Partite!$G43,Pronostici!$S43=Partite!$H43),IF(AND($B43&gt;=Config!$D$17,COUNTIF($P43:$T43,$T43)=1),Config!$D$9,Config!$D$6),IF(AND($N43&lt;&gt;"",$N43=Partite!$I43),IF(AND($B43&gt;=Config!$D$17,COUNTIF($J43:$N43,$N43)=1),Config!$D$10,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c r="P43" s="63">
        <f>IF(OR(Pronostici!$F43="",Pronostici!$G43=""),"",Pronostici!$F43&amp;" a "&amp;Pronostici!$G43)</f>
        <v/>
      </c>
      <c r="Q43" s="63">
        <f>IF(OR(Pronostici!$I43="",Pronostici!$J43=""),"",Pronostici!$I43&amp;" a "&amp;Pronostici!$J43)</f>
        <v/>
      </c>
      <c r="R43" s="63">
        <f>IF(OR(Pronostici!$L43="",Pronostici!$M43=""),"",Pronostici!$L43&amp;" a "&amp;Pronostici!$M43)</f>
        <v/>
      </c>
      <c r="S43" s="63">
        <f>IF(OR(Pronostici!$O43="",Pronostici!$P43=""),"",Pronostici!$O43&amp;" a "&amp;Pronostici!$P43)</f>
        <v/>
      </c>
      <c r="T43" s="63">
        <f>IF(OR(Pronostici!$R43="",Pronostici!$S43=""),"",Pronostici!$R43&amp;" a "&amp;Pronostici!$S43)</f>
        <v/>
      </c>
    </row>
    <row r="44">
      <c r="A44" s="69">
        <f>Partite!$A44</f>
        <v/>
      </c>
      <c r="B44" s="25">
        <f>Partite!$B44</f>
        <v/>
      </c>
      <c r="C44" s="43">
        <f>IF(Partite!$E44="","",Partite!$E44&amp;"  -  "&amp;Partite!$F44)</f>
        <v/>
      </c>
      <c r="D44" s="22">
        <f>IF(Partite!$K44&lt;&gt;"Giocata","",IF(AND(Pronostici!$F44&lt;&gt;"",Pronostici!$G44&lt;&gt;"",Pronostici!$F44=Partite!$G44,Pronostici!$G44=Partite!$H44),IF(AND($B44&gt;=Config!$D$17,COUNTIF($P44:$T44,$P44)=1),Config!$D$9,Config!$D$6),IF(AND($J44&lt;&gt;"",$J44=Partite!$I44),IF(AND($B44&gt;=Config!$D$17,COUNTIF($J44:$N44,$J44)=1),Config!$D$10,Config!$D$7),Config!$D$8)))</f>
        <v/>
      </c>
      <c r="E44" s="22">
        <f>IF(Partite!$K44&lt;&gt;"Giocata","",IF(AND(Pronostici!$I44&lt;&gt;"",Pronostici!$J44&lt;&gt;"",Pronostici!$I44=Partite!$G44,Pronostici!$J44=Partite!$H44),IF(AND($B44&gt;=Config!$D$17,COUNTIF($P44:$T44,$Q44)=1),Config!$D$9,Config!$D$6),IF(AND($K44&lt;&gt;"",$K44=Partite!$I44),IF(AND($B44&gt;=Config!$D$17,COUNTIF($J44:$N44,$K44)=1),Config!$D$10,Config!$D$7),Config!$D$8)))</f>
        <v/>
      </c>
      <c r="F44" s="22">
        <f>IF(Partite!$K44&lt;&gt;"Giocata","",IF(AND(Pronostici!$L44&lt;&gt;"",Pronostici!$M44&lt;&gt;"",Pronostici!$L44=Partite!$G44,Pronostici!$M44=Partite!$H44),IF(AND($B44&gt;=Config!$D$17,COUNTIF($P44:$T44,$R44)=1),Config!$D$9,Config!$D$6),IF(AND($L44&lt;&gt;"",$L44=Partite!$I44),IF(AND($B44&gt;=Config!$D$17,COUNTIF($J44:$N44,$L44)=1),Config!$D$10,Config!$D$7),Config!$D$8)))</f>
        <v/>
      </c>
      <c r="G44" s="22">
        <f>IF(Partite!$K44&lt;&gt;"Giocata","",IF(AND(Pronostici!$O44&lt;&gt;"",Pronostici!$P44&lt;&gt;"",Pronostici!$O44=Partite!$G44,Pronostici!$P44=Partite!$H44),IF(AND($B44&gt;=Config!$D$17,COUNTIF($P44:$T44,$S44)=1),Config!$D$9,Config!$D$6),IF(AND($M44&lt;&gt;"",$M44=Partite!$I44),IF(AND($B44&gt;=Config!$D$17,COUNTIF($J44:$N44,$M44)=1),Config!$D$10,Config!$D$7),Config!$D$8)))</f>
        <v/>
      </c>
      <c r="H44" s="22">
        <f>IF(Partite!$K44&lt;&gt;"Giocata","",IF(AND(Pronostici!$R44&lt;&gt;"",Pronostici!$S44&lt;&gt;"",Pronostici!$R44=Partite!$G44,Pronostici!$S44=Partite!$H44),IF(AND($B44&gt;=Config!$D$17,COUNTIF($P44:$T44,$T44)=1),Config!$D$9,Config!$D$6),IF(AND($N44&lt;&gt;"",$N44=Partite!$I44),IF(AND($B44&gt;=Config!$D$17,COUNTIF($J44:$N44,$N44)=1),Config!$D$10,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c r="P44" s="63">
        <f>IF(OR(Pronostici!$F44="",Pronostici!$G44=""),"",Pronostici!$F44&amp;" a "&amp;Pronostici!$G44)</f>
        <v/>
      </c>
      <c r="Q44" s="63">
        <f>IF(OR(Pronostici!$I44="",Pronostici!$J44=""),"",Pronostici!$I44&amp;" a "&amp;Pronostici!$J44)</f>
        <v/>
      </c>
      <c r="R44" s="63">
        <f>IF(OR(Pronostici!$L44="",Pronostici!$M44=""),"",Pronostici!$L44&amp;" a "&amp;Pronostici!$M44)</f>
        <v/>
      </c>
      <c r="S44" s="63">
        <f>IF(OR(Pronostici!$O44="",Pronostici!$P44=""),"",Pronostici!$O44&amp;" a "&amp;Pronostici!$P44)</f>
        <v/>
      </c>
      <c r="T44" s="63">
        <f>IF(OR(Pronostici!$R44="",Pronostici!$S44=""),"",Pronostici!$R44&amp;" a "&amp;Pronostici!$S44)</f>
        <v/>
      </c>
    </row>
    <row r="45">
      <c r="A45" s="69">
        <f>Partite!$A45</f>
        <v/>
      </c>
      <c r="B45" s="25">
        <f>Partite!$B45</f>
        <v/>
      </c>
      <c r="C45" s="43">
        <f>IF(Partite!$E45="","",Partite!$E45&amp;"  -  "&amp;Partite!$F45)</f>
        <v/>
      </c>
      <c r="D45" s="22">
        <f>IF(Partite!$K45&lt;&gt;"Giocata","",IF(AND(Pronostici!$F45&lt;&gt;"",Pronostici!$G45&lt;&gt;"",Pronostici!$F45=Partite!$G45,Pronostici!$G45=Partite!$H45),IF(AND($B45&gt;=Config!$D$17,COUNTIF($P45:$T45,$P45)=1),Config!$D$9,Config!$D$6),IF(AND($J45&lt;&gt;"",$J45=Partite!$I45),IF(AND($B45&gt;=Config!$D$17,COUNTIF($J45:$N45,$J45)=1),Config!$D$10,Config!$D$7),Config!$D$8)))</f>
        <v/>
      </c>
      <c r="E45" s="22">
        <f>IF(Partite!$K45&lt;&gt;"Giocata","",IF(AND(Pronostici!$I45&lt;&gt;"",Pronostici!$J45&lt;&gt;"",Pronostici!$I45=Partite!$G45,Pronostici!$J45=Partite!$H45),IF(AND($B45&gt;=Config!$D$17,COUNTIF($P45:$T45,$Q45)=1),Config!$D$9,Config!$D$6),IF(AND($K45&lt;&gt;"",$K45=Partite!$I45),IF(AND($B45&gt;=Config!$D$17,COUNTIF($J45:$N45,$K45)=1),Config!$D$10,Config!$D$7),Config!$D$8)))</f>
        <v/>
      </c>
      <c r="F45" s="22">
        <f>IF(Partite!$K45&lt;&gt;"Giocata","",IF(AND(Pronostici!$L45&lt;&gt;"",Pronostici!$M45&lt;&gt;"",Pronostici!$L45=Partite!$G45,Pronostici!$M45=Partite!$H45),IF(AND($B45&gt;=Config!$D$17,COUNTIF($P45:$T45,$R45)=1),Config!$D$9,Config!$D$6),IF(AND($L45&lt;&gt;"",$L45=Partite!$I45),IF(AND($B45&gt;=Config!$D$17,COUNTIF($J45:$N45,$L45)=1),Config!$D$10,Config!$D$7),Config!$D$8)))</f>
        <v/>
      </c>
      <c r="G45" s="22">
        <f>IF(Partite!$K45&lt;&gt;"Giocata","",IF(AND(Pronostici!$O45&lt;&gt;"",Pronostici!$P45&lt;&gt;"",Pronostici!$O45=Partite!$G45,Pronostici!$P45=Partite!$H45),IF(AND($B45&gt;=Config!$D$17,COUNTIF($P45:$T45,$S45)=1),Config!$D$9,Config!$D$6),IF(AND($M45&lt;&gt;"",$M45=Partite!$I45),IF(AND($B45&gt;=Config!$D$17,COUNTIF($J45:$N45,$M45)=1),Config!$D$10,Config!$D$7),Config!$D$8)))</f>
        <v/>
      </c>
      <c r="H45" s="22">
        <f>IF(Partite!$K45&lt;&gt;"Giocata","",IF(AND(Pronostici!$R45&lt;&gt;"",Pronostici!$S45&lt;&gt;"",Pronostici!$R45=Partite!$G45,Pronostici!$S45=Partite!$H45),IF(AND($B45&gt;=Config!$D$17,COUNTIF($P45:$T45,$T45)=1),Config!$D$9,Config!$D$6),IF(AND($N45&lt;&gt;"",$N45=Partite!$I45),IF(AND($B45&gt;=Config!$D$17,COUNTIF($J45:$N45,$N45)=1),Config!$D$10,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c r="P45" s="63">
        <f>IF(OR(Pronostici!$F45="",Pronostici!$G45=""),"",Pronostici!$F45&amp;" a "&amp;Pronostici!$G45)</f>
        <v/>
      </c>
      <c r="Q45" s="63">
        <f>IF(OR(Pronostici!$I45="",Pronostici!$J45=""),"",Pronostici!$I45&amp;" a "&amp;Pronostici!$J45)</f>
        <v/>
      </c>
      <c r="R45" s="63">
        <f>IF(OR(Pronostici!$L45="",Pronostici!$M45=""),"",Pronostici!$L45&amp;" a "&amp;Pronostici!$M45)</f>
        <v/>
      </c>
      <c r="S45" s="63">
        <f>IF(OR(Pronostici!$O45="",Pronostici!$P45=""),"",Pronostici!$O45&amp;" a "&amp;Pronostici!$P45)</f>
        <v/>
      </c>
      <c r="T45" s="63">
        <f>IF(OR(Pronostici!$R45="",Pronostici!$S45=""),"",Pronostici!$R45&amp;" a "&amp;Pronostici!$S45)</f>
        <v/>
      </c>
    </row>
    <row r="46">
      <c r="A46" s="69">
        <f>Partite!$A46</f>
        <v/>
      </c>
      <c r="B46" s="25">
        <f>Partite!$B46</f>
        <v/>
      </c>
      <c r="C46" s="43">
        <f>IF(Partite!$E46="","",Partite!$E46&amp;"  -  "&amp;Partite!$F46)</f>
        <v/>
      </c>
      <c r="D46" s="22">
        <f>IF(Partite!$K46&lt;&gt;"Giocata","",IF(AND(Pronostici!$F46&lt;&gt;"",Pronostici!$G46&lt;&gt;"",Pronostici!$F46=Partite!$G46,Pronostici!$G46=Partite!$H46),IF(AND($B46&gt;=Config!$D$17,COUNTIF($P46:$T46,$P46)=1),Config!$D$9,Config!$D$6),IF(AND($J46&lt;&gt;"",$J46=Partite!$I46),IF(AND($B46&gt;=Config!$D$17,COUNTIF($J46:$N46,$J46)=1),Config!$D$10,Config!$D$7),Config!$D$8)))</f>
        <v/>
      </c>
      <c r="E46" s="22">
        <f>IF(Partite!$K46&lt;&gt;"Giocata","",IF(AND(Pronostici!$I46&lt;&gt;"",Pronostici!$J46&lt;&gt;"",Pronostici!$I46=Partite!$G46,Pronostici!$J46=Partite!$H46),IF(AND($B46&gt;=Config!$D$17,COUNTIF($P46:$T46,$Q46)=1),Config!$D$9,Config!$D$6),IF(AND($K46&lt;&gt;"",$K46=Partite!$I46),IF(AND($B46&gt;=Config!$D$17,COUNTIF($J46:$N46,$K46)=1),Config!$D$10,Config!$D$7),Config!$D$8)))</f>
        <v/>
      </c>
      <c r="F46" s="22">
        <f>IF(Partite!$K46&lt;&gt;"Giocata","",IF(AND(Pronostici!$L46&lt;&gt;"",Pronostici!$M46&lt;&gt;"",Pronostici!$L46=Partite!$G46,Pronostici!$M46=Partite!$H46),IF(AND($B46&gt;=Config!$D$17,COUNTIF($P46:$T46,$R46)=1),Config!$D$9,Config!$D$6),IF(AND($L46&lt;&gt;"",$L46=Partite!$I46),IF(AND($B46&gt;=Config!$D$17,COUNTIF($J46:$N46,$L46)=1),Config!$D$10,Config!$D$7),Config!$D$8)))</f>
        <v/>
      </c>
      <c r="G46" s="22">
        <f>IF(Partite!$K46&lt;&gt;"Giocata","",IF(AND(Pronostici!$O46&lt;&gt;"",Pronostici!$P46&lt;&gt;"",Pronostici!$O46=Partite!$G46,Pronostici!$P46=Partite!$H46),IF(AND($B46&gt;=Config!$D$17,COUNTIF($P46:$T46,$S46)=1),Config!$D$9,Config!$D$6),IF(AND($M46&lt;&gt;"",$M46=Partite!$I46),IF(AND($B46&gt;=Config!$D$17,COUNTIF($J46:$N46,$M46)=1),Config!$D$10,Config!$D$7),Config!$D$8)))</f>
        <v/>
      </c>
      <c r="H46" s="22">
        <f>IF(Partite!$K46&lt;&gt;"Giocata","",IF(AND(Pronostici!$R46&lt;&gt;"",Pronostici!$S46&lt;&gt;"",Pronostici!$R46=Partite!$G46,Pronostici!$S46=Partite!$H46),IF(AND($B46&gt;=Config!$D$17,COUNTIF($P46:$T46,$T46)=1),Config!$D$9,Config!$D$6),IF(AND($N46&lt;&gt;"",$N46=Partite!$I46),IF(AND($B46&gt;=Config!$D$17,COUNTIF($J46:$N46,$N46)=1),Config!$D$10,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c r="P46" s="63">
        <f>IF(OR(Pronostici!$F46="",Pronostici!$G46=""),"",Pronostici!$F46&amp;" a "&amp;Pronostici!$G46)</f>
        <v/>
      </c>
      <c r="Q46" s="63">
        <f>IF(OR(Pronostici!$I46="",Pronostici!$J46=""),"",Pronostici!$I46&amp;" a "&amp;Pronostici!$J46)</f>
        <v/>
      </c>
      <c r="R46" s="63">
        <f>IF(OR(Pronostici!$L46="",Pronostici!$M46=""),"",Pronostici!$L46&amp;" a "&amp;Pronostici!$M46)</f>
        <v/>
      </c>
      <c r="S46" s="63">
        <f>IF(OR(Pronostici!$O46="",Pronostici!$P46=""),"",Pronostici!$O46&amp;" a "&amp;Pronostici!$P46)</f>
        <v/>
      </c>
      <c r="T46" s="63">
        <f>IF(OR(Pronostici!$R46="",Pronostici!$S46=""),"",Pronostici!$R46&amp;" a "&amp;Pronostici!$S46)</f>
        <v/>
      </c>
    </row>
    <row r="47">
      <c r="A47" s="69">
        <f>Partite!$A47</f>
        <v/>
      </c>
      <c r="B47" s="25">
        <f>Partite!$B47</f>
        <v/>
      </c>
      <c r="C47" s="43">
        <f>IF(Partite!$E47="","",Partite!$E47&amp;"  -  "&amp;Partite!$F47)</f>
        <v/>
      </c>
      <c r="D47" s="22">
        <f>IF(Partite!$K47&lt;&gt;"Giocata","",IF(AND(Pronostici!$F47&lt;&gt;"",Pronostici!$G47&lt;&gt;"",Pronostici!$F47=Partite!$G47,Pronostici!$G47=Partite!$H47),IF(AND($B47&gt;=Config!$D$17,COUNTIF($P47:$T47,$P47)=1),Config!$D$9,Config!$D$6),IF(AND($J47&lt;&gt;"",$J47=Partite!$I47),IF(AND($B47&gt;=Config!$D$17,COUNTIF($J47:$N47,$J47)=1),Config!$D$10,Config!$D$7),Config!$D$8)))</f>
        <v/>
      </c>
      <c r="E47" s="22">
        <f>IF(Partite!$K47&lt;&gt;"Giocata","",IF(AND(Pronostici!$I47&lt;&gt;"",Pronostici!$J47&lt;&gt;"",Pronostici!$I47=Partite!$G47,Pronostici!$J47=Partite!$H47),IF(AND($B47&gt;=Config!$D$17,COUNTIF($P47:$T47,$Q47)=1),Config!$D$9,Config!$D$6),IF(AND($K47&lt;&gt;"",$K47=Partite!$I47),IF(AND($B47&gt;=Config!$D$17,COUNTIF($J47:$N47,$K47)=1),Config!$D$10,Config!$D$7),Config!$D$8)))</f>
        <v/>
      </c>
      <c r="F47" s="22">
        <f>IF(Partite!$K47&lt;&gt;"Giocata","",IF(AND(Pronostici!$L47&lt;&gt;"",Pronostici!$M47&lt;&gt;"",Pronostici!$L47=Partite!$G47,Pronostici!$M47=Partite!$H47),IF(AND($B47&gt;=Config!$D$17,COUNTIF($P47:$T47,$R47)=1),Config!$D$9,Config!$D$6),IF(AND($L47&lt;&gt;"",$L47=Partite!$I47),IF(AND($B47&gt;=Config!$D$17,COUNTIF($J47:$N47,$L47)=1),Config!$D$10,Config!$D$7),Config!$D$8)))</f>
        <v/>
      </c>
      <c r="G47" s="22">
        <f>IF(Partite!$K47&lt;&gt;"Giocata","",IF(AND(Pronostici!$O47&lt;&gt;"",Pronostici!$P47&lt;&gt;"",Pronostici!$O47=Partite!$G47,Pronostici!$P47=Partite!$H47),IF(AND($B47&gt;=Config!$D$17,COUNTIF($P47:$T47,$S47)=1),Config!$D$9,Config!$D$6),IF(AND($M47&lt;&gt;"",$M47=Partite!$I47),IF(AND($B47&gt;=Config!$D$17,COUNTIF($J47:$N47,$M47)=1),Config!$D$10,Config!$D$7),Config!$D$8)))</f>
        <v/>
      </c>
      <c r="H47" s="22">
        <f>IF(Partite!$K47&lt;&gt;"Giocata","",IF(AND(Pronostici!$R47&lt;&gt;"",Pronostici!$S47&lt;&gt;"",Pronostici!$R47=Partite!$G47,Pronostici!$S47=Partite!$H47),IF(AND($B47&gt;=Config!$D$17,COUNTIF($P47:$T47,$T47)=1),Config!$D$9,Config!$D$6),IF(AND($N47&lt;&gt;"",$N47=Partite!$I47),IF(AND($B47&gt;=Config!$D$17,COUNTIF($J47:$N47,$N47)=1),Config!$D$10,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c r="P47" s="63">
        <f>IF(OR(Pronostici!$F47="",Pronostici!$G47=""),"",Pronostici!$F47&amp;" a "&amp;Pronostici!$G47)</f>
        <v/>
      </c>
      <c r="Q47" s="63">
        <f>IF(OR(Pronostici!$I47="",Pronostici!$J47=""),"",Pronostici!$I47&amp;" a "&amp;Pronostici!$J47)</f>
        <v/>
      </c>
      <c r="R47" s="63">
        <f>IF(OR(Pronostici!$L47="",Pronostici!$M47=""),"",Pronostici!$L47&amp;" a "&amp;Pronostici!$M47)</f>
        <v/>
      </c>
      <c r="S47" s="63">
        <f>IF(OR(Pronostici!$O47="",Pronostici!$P47=""),"",Pronostici!$O47&amp;" a "&amp;Pronostici!$P47)</f>
        <v/>
      </c>
      <c r="T47" s="63">
        <f>IF(OR(Pronostici!$R47="",Pronostici!$S47=""),"",Pronostici!$R47&amp;" a "&amp;Pronostici!$S47)</f>
        <v/>
      </c>
    </row>
    <row r="48">
      <c r="A48" s="69">
        <f>Partite!$A48</f>
        <v/>
      </c>
      <c r="B48" s="25">
        <f>Partite!$B48</f>
        <v/>
      </c>
      <c r="C48" s="43">
        <f>IF(Partite!$E48="","",Partite!$E48&amp;"  -  "&amp;Partite!$F48)</f>
        <v/>
      </c>
      <c r="D48" s="22">
        <f>IF(Partite!$K48&lt;&gt;"Giocata","",IF(AND(Pronostici!$F48&lt;&gt;"",Pronostici!$G48&lt;&gt;"",Pronostici!$F48=Partite!$G48,Pronostici!$G48=Partite!$H48),IF(AND($B48&gt;=Config!$D$17,COUNTIF($P48:$T48,$P48)=1),Config!$D$9,Config!$D$6),IF(AND($J48&lt;&gt;"",$J48=Partite!$I48),IF(AND($B48&gt;=Config!$D$17,COUNTIF($J48:$N48,$J48)=1),Config!$D$10,Config!$D$7),Config!$D$8)))</f>
        <v/>
      </c>
      <c r="E48" s="22">
        <f>IF(Partite!$K48&lt;&gt;"Giocata","",IF(AND(Pronostici!$I48&lt;&gt;"",Pronostici!$J48&lt;&gt;"",Pronostici!$I48=Partite!$G48,Pronostici!$J48=Partite!$H48),IF(AND($B48&gt;=Config!$D$17,COUNTIF($P48:$T48,$Q48)=1),Config!$D$9,Config!$D$6),IF(AND($K48&lt;&gt;"",$K48=Partite!$I48),IF(AND($B48&gt;=Config!$D$17,COUNTIF($J48:$N48,$K48)=1),Config!$D$10,Config!$D$7),Config!$D$8)))</f>
        <v/>
      </c>
      <c r="F48" s="22">
        <f>IF(Partite!$K48&lt;&gt;"Giocata","",IF(AND(Pronostici!$L48&lt;&gt;"",Pronostici!$M48&lt;&gt;"",Pronostici!$L48=Partite!$G48,Pronostici!$M48=Partite!$H48),IF(AND($B48&gt;=Config!$D$17,COUNTIF($P48:$T48,$R48)=1),Config!$D$9,Config!$D$6),IF(AND($L48&lt;&gt;"",$L48=Partite!$I48),IF(AND($B48&gt;=Config!$D$17,COUNTIF($J48:$N48,$L48)=1),Config!$D$10,Config!$D$7),Config!$D$8)))</f>
        <v/>
      </c>
      <c r="G48" s="22">
        <f>IF(Partite!$K48&lt;&gt;"Giocata","",IF(AND(Pronostici!$O48&lt;&gt;"",Pronostici!$P48&lt;&gt;"",Pronostici!$O48=Partite!$G48,Pronostici!$P48=Partite!$H48),IF(AND($B48&gt;=Config!$D$17,COUNTIF($P48:$T48,$S48)=1),Config!$D$9,Config!$D$6),IF(AND($M48&lt;&gt;"",$M48=Partite!$I48),IF(AND($B48&gt;=Config!$D$17,COUNTIF($J48:$N48,$M48)=1),Config!$D$10,Config!$D$7),Config!$D$8)))</f>
        <v/>
      </c>
      <c r="H48" s="22">
        <f>IF(Partite!$K48&lt;&gt;"Giocata","",IF(AND(Pronostici!$R48&lt;&gt;"",Pronostici!$S48&lt;&gt;"",Pronostici!$R48=Partite!$G48,Pronostici!$S48=Partite!$H48),IF(AND($B48&gt;=Config!$D$17,COUNTIF($P48:$T48,$T48)=1),Config!$D$9,Config!$D$6),IF(AND($N48&lt;&gt;"",$N48=Partite!$I48),IF(AND($B48&gt;=Config!$D$17,COUNTIF($J48:$N48,$N48)=1),Config!$D$10,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c r="P48" s="63">
        <f>IF(OR(Pronostici!$F48="",Pronostici!$G48=""),"",Pronostici!$F48&amp;" a "&amp;Pronostici!$G48)</f>
        <v/>
      </c>
      <c r="Q48" s="63">
        <f>IF(OR(Pronostici!$I48="",Pronostici!$J48=""),"",Pronostici!$I48&amp;" a "&amp;Pronostici!$J48)</f>
        <v/>
      </c>
      <c r="R48" s="63">
        <f>IF(OR(Pronostici!$L48="",Pronostici!$M48=""),"",Pronostici!$L48&amp;" a "&amp;Pronostici!$M48)</f>
        <v/>
      </c>
      <c r="S48" s="63">
        <f>IF(OR(Pronostici!$O48="",Pronostici!$P48=""),"",Pronostici!$O48&amp;" a "&amp;Pronostici!$P48)</f>
        <v/>
      </c>
      <c r="T48" s="63">
        <f>IF(OR(Pronostici!$R48="",Pronostici!$S48=""),"",Pronostici!$R48&amp;" a "&amp;Pronostici!$S48)</f>
        <v/>
      </c>
    </row>
    <row r="49">
      <c r="A49" s="69">
        <f>Partite!$A49</f>
        <v/>
      </c>
      <c r="B49" s="25">
        <f>Partite!$B49</f>
        <v/>
      </c>
      <c r="C49" s="43">
        <f>IF(Partite!$E49="","",Partite!$E49&amp;"  -  "&amp;Partite!$F49)</f>
        <v/>
      </c>
      <c r="D49" s="22">
        <f>IF(Partite!$K49&lt;&gt;"Giocata","",IF(AND(Pronostici!$F49&lt;&gt;"",Pronostici!$G49&lt;&gt;"",Pronostici!$F49=Partite!$G49,Pronostici!$G49=Partite!$H49),IF(AND($B49&gt;=Config!$D$17,COUNTIF($P49:$T49,$P49)=1),Config!$D$9,Config!$D$6),IF(AND($J49&lt;&gt;"",$J49=Partite!$I49),IF(AND($B49&gt;=Config!$D$17,COUNTIF($J49:$N49,$J49)=1),Config!$D$10,Config!$D$7),Config!$D$8)))</f>
        <v/>
      </c>
      <c r="E49" s="22">
        <f>IF(Partite!$K49&lt;&gt;"Giocata","",IF(AND(Pronostici!$I49&lt;&gt;"",Pronostici!$J49&lt;&gt;"",Pronostici!$I49=Partite!$G49,Pronostici!$J49=Partite!$H49),IF(AND($B49&gt;=Config!$D$17,COUNTIF($P49:$T49,$Q49)=1),Config!$D$9,Config!$D$6),IF(AND($K49&lt;&gt;"",$K49=Partite!$I49),IF(AND($B49&gt;=Config!$D$17,COUNTIF($J49:$N49,$K49)=1),Config!$D$10,Config!$D$7),Config!$D$8)))</f>
        <v/>
      </c>
      <c r="F49" s="22">
        <f>IF(Partite!$K49&lt;&gt;"Giocata","",IF(AND(Pronostici!$L49&lt;&gt;"",Pronostici!$M49&lt;&gt;"",Pronostici!$L49=Partite!$G49,Pronostici!$M49=Partite!$H49),IF(AND($B49&gt;=Config!$D$17,COUNTIF($P49:$T49,$R49)=1),Config!$D$9,Config!$D$6),IF(AND($L49&lt;&gt;"",$L49=Partite!$I49),IF(AND($B49&gt;=Config!$D$17,COUNTIF($J49:$N49,$L49)=1),Config!$D$10,Config!$D$7),Config!$D$8)))</f>
        <v/>
      </c>
      <c r="G49" s="22">
        <f>IF(Partite!$K49&lt;&gt;"Giocata","",IF(AND(Pronostici!$O49&lt;&gt;"",Pronostici!$P49&lt;&gt;"",Pronostici!$O49=Partite!$G49,Pronostici!$P49=Partite!$H49),IF(AND($B49&gt;=Config!$D$17,COUNTIF($P49:$T49,$S49)=1),Config!$D$9,Config!$D$6),IF(AND($M49&lt;&gt;"",$M49=Partite!$I49),IF(AND($B49&gt;=Config!$D$17,COUNTIF($J49:$N49,$M49)=1),Config!$D$10,Config!$D$7),Config!$D$8)))</f>
        <v/>
      </c>
      <c r="H49" s="22">
        <f>IF(Partite!$K49&lt;&gt;"Giocata","",IF(AND(Pronostici!$R49&lt;&gt;"",Pronostici!$S49&lt;&gt;"",Pronostici!$R49=Partite!$G49,Pronostici!$S49=Partite!$H49),IF(AND($B49&gt;=Config!$D$17,COUNTIF($P49:$T49,$T49)=1),Config!$D$9,Config!$D$6),IF(AND($N49&lt;&gt;"",$N49=Partite!$I49),IF(AND($B49&gt;=Config!$D$17,COUNTIF($J49:$N49,$N49)=1),Config!$D$10,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c r="P49" s="63">
        <f>IF(OR(Pronostici!$F49="",Pronostici!$G49=""),"",Pronostici!$F49&amp;" a "&amp;Pronostici!$G49)</f>
        <v/>
      </c>
      <c r="Q49" s="63">
        <f>IF(OR(Pronostici!$I49="",Pronostici!$J49=""),"",Pronostici!$I49&amp;" a "&amp;Pronostici!$J49)</f>
        <v/>
      </c>
      <c r="R49" s="63">
        <f>IF(OR(Pronostici!$L49="",Pronostici!$M49=""),"",Pronostici!$L49&amp;" a "&amp;Pronostici!$M49)</f>
        <v/>
      </c>
      <c r="S49" s="63">
        <f>IF(OR(Pronostici!$O49="",Pronostici!$P49=""),"",Pronostici!$O49&amp;" a "&amp;Pronostici!$P49)</f>
        <v/>
      </c>
      <c r="T49" s="63">
        <f>IF(OR(Pronostici!$R49="",Pronostici!$S49=""),"",Pronostici!$R49&amp;" a "&amp;Pronostici!$S49)</f>
        <v/>
      </c>
    </row>
    <row r="50">
      <c r="A50" s="69">
        <f>Partite!$A50</f>
        <v/>
      </c>
      <c r="B50" s="25">
        <f>Partite!$B50</f>
        <v/>
      </c>
      <c r="C50" s="43">
        <f>IF(Partite!$E50="","",Partite!$E50&amp;"  -  "&amp;Partite!$F50)</f>
        <v/>
      </c>
      <c r="D50" s="22">
        <f>IF(Partite!$K50&lt;&gt;"Giocata","",IF(AND(Pronostici!$F50&lt;&gt;"",Pronostici!$G50&lt;&gt;"",Pronostici!$F50=Partite!$G50,Pronostici!$G50=Partite!$H50),IF(AND($B50&gt;=Config!$D$17,COUNTIF($P50:$T50,$P50)=1),Config!$D$9,Config!$D$6),IF(AND($J50&lt;&gt;"",$J50=Partite!$I50),IF(AND($B50&gt;=Config!$D$17,COUNTIF($J50:$N50,$J50)=1),Config!$D$10,Config!$D$7),Config!$D$8)))</f>
        <v/>
      </c>
      <c r="E50" s="22">
        <f>IF(Partite!$K50&lt;&gt;"Giocata","",IF(AND(Pronostici!$I50&lt;&gt;"",Pronostici!$J50&lt;&gt;"",Pronostici!$I50=Partite!$G50,Pronostici!$J50=Partite!$H50),IF(AND($B50&gt;=Config!$D$17,COUNTIF($P50:$T50,$Q50)=1),Config!$D$9,Config!$D$6),IF(AND($K50&lt;&gt;"",$K50=Partite!$I50),IF(AND($B50&gt;=Config!$D$17,COUNTIF($J50:$N50,$K50)=1),Config!$D$10,Config!$D$7),Config!$D$8)))</f>
        <v/>
      </c>
      <c r="F50" s="22">
        <f>IF(Partite!$K50&lt;&gt;"Giocata","",IF(AND(Pronostici!$L50&lt;&gt;"",Pronostici!$M50&lt;&gt;"",Pronostici!$L50=Partite!$G50,Pronostici!$M50=Partite!$H50),IF(AND($B50&gt;=Config!$D$17,COUNTIF($P50:$T50,$R50)=1),Config!$D$9,Config!$D$6),IF(AND($L50&lt;&gt;"",$L50=Partite!$I50),IF(AND($B50&gt;=Config!$D$17,COUNTIF($J50:$N50,$L50)=1),Config!$D$10,Config!$D$7),Config!$D$8)))</f>
        <v/>
      </c>
      <c r="G50" s="22">
        <f>IF(Partite!$K50&lt;&gt;"Giocata","",IF(AND(Pronostici!$O50&lt;&gt;"",Pronostici!$P50&lt;&gt;"",Pronostici!$O50=Partite!$G50,Pronostici!$P50=Partite!$H50),IF(AND($B50&gt;=Config!$D$17,COUNTIF($P50:$T50,$S50)=1),Config!$D$9,Config!$D$6),IF(AND($M50&lt;&gt;"",$M50=Partite!$I50),IF(AND($B50&gt;=Config!$D$17,COUNTIF($J50:$N50,$M50)=1),Config!$D$10,Config!$D$7),Config!$D$8)))</f>
        <v/>
      </c>
      <c r="H50" s="22">
        <f>IF(Partite!$K50&lt;&gt;"Giocata","",IF(AND(Pronostici!$R50&lt;&gt;"",Pronostici!$S50&lt;&gt;"",Pronostici!$R50=Partite!$G50,Pronostici!$S50=Partite!$H50),IF(AND($B50&gt;=Config!$D$17,COUNTIF($P50:$T50,$T50)=1),Config!$D$9,Config!$D$6),IF(AND($N50&lt;&gt;"",$N50=Partite!$I50),IF(AND($B50&gt;=Config!$D$17,COUNTIF($J50:$N50,$N50)=1),Config!$D$10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c r="P50" s="63">
        <f>IF(OR(Pronostici!$F50="",Pronostici!$G50=""),"",Pronostici!$F50&amp;" a "&amp;Pronostici!$G50)</f>
        <v/>
      </c>
      <c r="Q50" s="63">
        <f>IF(OR(Pronostici!$I50="",Pronostici!$J50=""),"",Pronostici!$I50&amp;" a "&amp;Pronostici!$J50)</f>
        <v/>
      </c>
      <c r="R50" s="63">
        <f>IF(OR(Pronostici!$L50="",Pronostici!$M50=""),"",Pronostici!$L50&amp;" a "&amp;Pronostici!$M50)</f>
        <v/>
      </c>
      <c r="S50" s="63">
        <f>IF(OR(Pronostici!$O50="",Pronostici!$P50=""),"",Pronostici!$O50&amp;" a "&amp;Pronostici!$P50)</f>
        <v/>
      </c>
      <c r="T50" s="63">
        <f>IF(OR(Pronostici!$R50="",Pronostici!$S50=""),"",Pronostici!$R50&amp;" a "&amp;Pronostici!$S50)</f>
        <v/>
      </c>
    </row>
    <row r="51">
      <c r="A51" s="69">
        <f>Partite!$A51</f>
        <v/>
      </c>
      <c r="B51" s="25">
        <f>Partite!$B51</f>
        <v/>
      </c>
      <c r="C51" s="43">
        <f>IF(Partite!$E51="","",Partite!$E51&amp;"  -  "&amp;Partite!$F51)</f>
        <v/>
      </c>
      <c r="D51" s="22">
        <f>IF(Partite!$K51&lt;&gt;"Giocata","",IF(AND(Pronostici!$F51&lt;&gt;"",Pronostici!$G51&lt;&gt;"",Pronostici!$F51=Partite!$G51,Pronostici!$G51=Partite!$H51),IF(AND($B51&gt;=Config!$D$17,COUNTIF($P51:$T51,$P51)=1),Config!$D$9,Config!$D$6),IF(AND($J51&lt;&gt;"",$J51=Partite!$I51),IF(AND($B51&gt;=Config!$D$17,COUNTIF($J51:$N51,$J51)=1),Config!$D$10,Config!$D$7),Config!$D$8)))</f>
        <v/>
      </c>
      <c r="E51" s="22">
        <f>IF(Partite!$K51&lt;&gt;"Giocata","",IF(AND(Pronostici!$I51&lt;&gt;"",Pronostici!$J51&lt;&gt;"",Pronostici!$I51=Partite!$G51,Pronostici!$J51=Partite!$H51),IF(AND($B51&gt;=Config!$D$17,COUNTIF($P51:$T51,$Q51)=1),Config!$D$9,Config!$D$6),IF(AND($K51&lt;&gt;"",$K51=Partite!$I51),IF(AND($B51&gt;=Config!$D$17,COUNTIF($J51:$N51,$K51)=1),Config!$D$10,Config!$D$7),Config!$D$8)))</f>
        <v/>
      </c>
      <c r="F51" s="22">
        <f>IF(Partite!$K51&lt;&gt;"Giocata","",IF(AND(Pronostici!$L51&lt;&gt;"",Pronostici!$M51&lt;&gt;"",Pronostici!$L51=Partite!$G51,Pronostici!$M51=Partite!$H51),IF(AND($B51&gt;=Config!$D$17,COUNTIF($P51:$T51,$R51)=1),Config!$D$9,Config!$D$6),IF(AND($L51&lt;&gt;"",$L51=Partite!$I51),IF(AND($B51&gt;=Config!$D$17,COUNTIF($J51:$N51,$L51)=1),Config!$D$10,Config!$D$7),Config!$D$8)))</f>
        <v/>
      </c>
      <c r="G51" s="22">
        <f>IF(Partite!$K51&lt;&gt;"Giocata","",IF(AND(Pronostici!$O51&lt;&gt;"",Pronostici!$P51&lt;&gt;"",Pronostici!$O51=Partite!$G51,Pronostici!$P51=Partite!$H51),IF(AND($B51&gt;=Config!$D$17,COUNTIF($P51:$T51,$S51)=1),Config!$D$9,Config!$D$6),IF(AND($M51&lt;&gt;"",$M51=Partite!$I51),IF(AND($B51&gt;=Config!$D$17,COUNTIF($J51:$N51,$M51)=1),Config!$D$10,Config!$D$7),Config!$D$8)))</f>
        <v/>
      </c>
      <c r="H51" s="22">
        <f>IF(Partite!$K51&lt;&gt;"Giocata","",IF(AND(Pronostici!$R51&lt;&gt;"",Pronostici!$S51&lt;&gt;"",Pronostici!$R51=Partite!$G51,Pronostici!$S51=Partite!$H51),IF(AND($B51&gt;=Config!$D$17,COUNTIF($P51:$T51,$T51)=1),Config!$D$9,Config!$D$6),IF(AND($N51&lt;&gt;"",$N51=Partite!$I51),IF(AND($B51&gt;=Config!$D$17,COUNTIF($J51:$N51,$N51)=1),Config!$D$10,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c r="P51" s="63">
        <f>IF(OR(Pronostici!$F51="",Pronostici!$G51=""),"",Pronostici!$F51&amp;" a "&amp;Pronostici!$G51)</f>
        <v/>
      </c>
      <c r="Q51" s="63">
        <f>IF(OR(Pronostici!$I51="",Pronostici!$J51=""),"",Pronostici!$I51&amp;" a "&amp;Pronostici!$J51)</f>
        <v/>
      </c>
      <c r="R51" s="63">
        <f>IF(OR(Pronostici!$L51="",Pronostici!$M51=""),"",Pronostici!$L51&amp;" a "&amp;Pronostici!$M51)</f>
        <v/>
      </c>
      <c r="S51" s="63">
        <f>IF(OR(Pronostici!$O51="",Pronostici!$P51=""),"",Pronostici!$O51&amp;" a "&amp;Pronostici!$P51)</f>
        <v/>
      </c>
      <c r="T51" s="63">
        <f>IF(OR(Pronostici!$R51="",Pronostici!$S51=""),"",Pronostici!$R51&amp;" a "&amp;Pronostici!$S51)</f>
        <v/>
      </c>
    </row>
    <row r="52">
      <c r="A52" s="69">
        <f>Partite!$A52</f>
        <v/>
      </c>
      <c r="B52" s="25">
        <f>Partite!$B52</f>
        <v/>
      </c>
      <c r="C52" s="43">
        <f>IF(Partite!$E52="","",Partite!$E52&amp;"  -  "&amp;Partite!$F52)</f>
        <v/>
      </c>
      <c r="D52" s="22">
        <f>IF(Partite!$K52&lt;&gt;"Giocata","",IF(AND(Pronostici!$F52&lt;&gt;"",Pronostici!$G52&lt;&gt;"",Pronostici!$F52=Partite!$G52,Pronostici!$G52=Partite!$H52),IF(AND($B52&gt;=Config!$D$17,COUNTIF($P52:$T52,$P52)=1),Config!$D$9,Config!$D$6),IF(AND($J52&lt;&gt;"",$J52=Partite!$I52),IF(AND($B52&gt;=Config!$D$17,COUNTIF($J52:$N52,$J52)=1),Config!$D$10,Config!$D$7),Config!$D$8)))</f>
        <v/>
      </c>
      <c r="E52" s="22">
        <f>IF(Partite!$K52&lt;&gt;"Giocata","",IF(AND(Pronostici!$I52&lt;&gt;"",Pronostici!$J52&lt;&gt;"",Pronostici!$I52=Partite!$G52,Pronostici!$J52=Partite!$H52),IF(AND($B52&gt;=Config!$D$17,COUNTIF($P52:$T52,$Q52)=1),Config!$D$9,Config!$D$6),IF(AND($K52&lt;&gt;"",$K52=Partite!$I52),IF(AND($B52&gt;=Config!$D$17,COUNTIF($J52:$N52,$K52)=1),Config!$D$10,Config!$D$7),Config!$D$8)))</f>
        <v/>
      </c>
      <c r="F52" s="22">
        <f>IF(Partite!$K52&lt;&gt;"Giocata","",IF(AND(Pronostici!$L52&lt;&gt;"",Pronostici!$M52&lt;&gt;"",Pronostici!$L52=Partite!$G52,Pronostici!$M52=Partite!$H52),IF(AND($B52&gt;=Config!$D$17,COUNTIF($P52:$T52,$R52)=1),Config!$D$9,Config!$D$6),IF(AND($L52&lt;&gt;"",$L52=Partite!$I52),IF(AND($B52&gt;=Config!$D$17,COUNTIF($J52:$N52,$L52)=1),Config!$D$10,Config!$D$7),Config!$D$8)))</f>
        <v/>
      </c>
      <c r="G52" s="22">
        <f>IF(Partite!$K52&lt;&gt;"Giocata","",IF(AND(Pronostici!$O52&lt;&gt;"",Pronostici!$P52&lt;&gt;"",Pronostici!$O52=Partite!$G52,Pronostici!$P52=Partite!$H52),IF(AND($B52&gt;=Config!$D$17,COUNTIF($P52:$T52,$S52)=1),Config!$D$9,Config!$D$6),IF(AND($M52&lt;&gt;"",$M52=Partite!$I52),IF(AND($B52&gt;=Config!$D$17,COUNTIF($J52:$N52,$M52)=1),Config!$D$10,Config!$D$7),Config!$D$8)))</f>
        <v/>
      </c>
      <c r="H52" s="22">
        <f>IF(Partite!$K52&lt;&gt;"Giocata","",IF(AND(Pronostici!$R52&lt;&gt;"",Pronostici!$S52&lt;&gt;"",Pronostici!$R52=Partite!$G52,Pronostici!$S52=Partite!$H52),IF(AND($B52&gt;=Config!$D$17,COUNTIF($P52:$T52,$T52)=1),Config!$D$9,Config!$D$6),IF(AND($N52&lt;&gt;"",$N52=Partite!$I52),IF(AND($B52&gt;=Config!$D$17,COUNTIF($J52:$N52,$N52)=1),Config!$D$10,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c r="P52" s="63">
        <f>IF(OR(Pronostici!$F52="",Pronostici!$G52=""),"",Pronostici!$F52&amp;" a "&amp;Pronostici!$G52)</f>
        <v/>
      </c>
      <c r="Q52" s="63">
        <f>IF(OR(Pronostici!$I52="",Pronostici!$J52=""),"",Pronostici!$I52&amp;" a "&amp;Pronostici!$J52)</f>
        <v/>
      </c>
      <c r="R52" s="63">
        <f>IF(OR(Pronostici!$L52="",Pronostici!$M52=""),"",Pronostici!$L52&amp;" a "&amp;Pronostici!$M52)</f>
        <v/>
      </c>
      <c r="S52" s="63">
        <f>IF(OR(Pronostici!$O52="",Pronostici!$P52=""),"",Pronostici!$O52&amp;" a "&amp;Pronostici!$P52)</f>
        <v/>
      </c>
      <c r="T52" s="63">
        <f>IF(OR(Pronostici!$R52="",Pronostici!$S52=""),"",Pronostici!$R52&amp;" a "&amp;Pronostici!$S52)</f>
        <v/>
      </c>
    </row>
  </sheetData>
  <mergeCells count="1">
    <mergeCell ref="A1:H1"/>
  </mergeCells>
  <conditionalFormatting sqref="D3:D52">
    <cfRule type="cellIs" priority="1" operator="greaterThanOrEqual" dxfId="0">
      <formula>3</formula>
    </cfRule>
    <cfRule type="cellIs" priority="2" operator="between" dxfId="1">
      <formula>1</formula>
      <formula>2</formula>
    </cfRule>
  </conditionalFormatting>
  <conditionalFormatting sqref="E3:E52">
    <cfRule type="cellIs" priority="3" operator="greaterThanOrEqual" dxfId="0">
      <formula>3</formula>
    </cfRule>
    <cfRule type="cellIs" priority="4" operator="between" dxfId="1">
      <formula>1</formula>
      <formula>2</formula>
    </cfRule>
  </conditionalFormatting>
  <conditionalFormatting sqref="F3:F52">
    <cfRule type="cellIs" priority="5" operator="greaterThanOrEqual" dxfId="0">
      <formula>3</formula>
    </cfRule>
    <cfRule type="cellIs" priority="6" operator="between" dxfId="1">
      <formula>1</formula>
      <formula>2</formula>
    </cfRule>
  </conditionalFormatting>
  <conditionalFormatting sqref="G3:G52">
    <cfRule type="cellIs" priority="7" operator="greaterThanOrEqual" dxfId="0">
      <formula>3</formula>
    </cfRule>
    <cfRule type="cellIs" priority="8" operator="between" dxfId="1">
      <formula>1</formula>
      <formula>2</formula>
    </cfRule>
  </conditionalFormatting>
  <conditionalFormatting sqref="H3:H52">
    <cfRule type="cellIs" priority="9" operator="greaterThanOrEqual" dxfId="0">
      <formula>3</formula>
    </cfRule>
    <cfRule type="cellIs" priority="10" operator="between" dxfId="1">
      <formula>1</formula>
      <formula>2</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47" t="inlineStr">
        <is>
          <t>CORAGGIO - risultato esatto, e nessun altro lo aveva scritto</t>
        </is>
      </c>
      <c r="D9" s="96" t="n">
        <v>6</v>
      </c>
    </row>
    <row r="10">
      <c r="A10" s="100" t="inlineStr">
        <is>
          <t>Lippi</t>
        </is>
      </c>
      <c r="C10" s="43" t="inlineStr">
        <is>
          <t>CORAGGIO - segno giusto, e nessun altro lo aveva scelto</t>
        </is>
      </c>
      <c r="D10" s="96" t="n">
        <v>2</v>
      </c>
    </row>
    <row r="11">
      <c r="C11" s="35" t="inlineStr">
        <is>
          <t>Il risultato esatto non si somma al segno. Gli ultimi due sono i punti coraggio: chi indovina da solo prende il doppio.</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17">
      <c r="C17" s="47" t="inlineStr">
        <is>
          <t>I punti coraggio valgono dalla giornata</t>
        </is>
      </c>
      <c r="D17" s="71" t="n">
        <v>5</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Punti coraggio, dalla giornata 5: chi indovina da solo vale doppio, 2 il segno e 6 il risultato esatto.</t>
        </is>
      </c>
    </row>
    <row r="25" ht="17" customHeight="1">
      <c r="A25" s="101" t="inlineStr">
        <is>
          <t>5.  Parita' in classifica generale: passa avanti chi ha piu' risultati esatti.</t>
        </is>
      </c>
    </row>
    <row r="26" ht="17" customHeight="1">
      <c r="A26" s="102" t="inlineStr">
        <is>
          <t>6.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6</v>
      </c>
      <c r="F38" s="106" t="inlineStr">
        <is>
          <t>risultato esatto, e nessun altro aveva scritto 2-1</t>
        </is>
      </c>
    </row>
    <row r="39">
      <c r="A39" s="48" t="inlineStr">
        <is>
          <t>Super Gulp</t>
        </is>
      </c>
      <c r="B39" s="104" t="inlineStr">
        <is>
          <t>1</t>
        </is>
      </c>
      <c r="C39" s="104" t="n">
        <v>3</v>
      </c>
      <c r="D39" s="104" t="n">
        <v>0</v>
      </c>
      <c r="E39" s="107" t="n">
        <v>1</v>
      </c>
      <c r="F39" s="106" t="inlineStr">
        <is>
          <t>segno giusto, ma l'1 lo avevano in tre</t>
        </is>
      </c>
    </row>
    <row r="40">
      <c r="A40" s="49" t="inlineStr">
        <is>
          <t>Lenzuolo</t>
        </is>
      </c>
      <c r="B40" s="104" t="inlineStr">
        <is>
          <t>1</t>
        </is>
      </c>
      <c r="C40" s="104" t="n"/>
      <c r="D40" s="104" t="n"/>
      <c r="E40" s="107" t="n">
        <v>1</v>
      </c>
      <c r="F40" s="106" t="inlineStr">
        <is>
          <t>solo il segno, giusto ma in compagnia</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Esempio dalla giornata 5 in poi. Se il segno giusto lo avesse scelto una persona sola, a lei varrebbe 2 punti invece di 1.</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2">
    <mergeCell ref="A23:D23"/>
    <mergeCell ref="C29:D29"/>
    <mergeCell ref="C30:D30"/>
    <mergeCell ref="C32:D32"/>
    <mergeCell ref="A22:D22"/>
    <mergeCell ref="C33:D33"/>
    <mergeCell ref="A26:D26"/>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2026-09-19T18:35:08Z</dcterms:created>
  <dcterms:modified xsi:type="dcterms:W3CDTF">2026-09-19T18:35:08Z</dcterms:modified>
</cp:coreProperties>
</file>