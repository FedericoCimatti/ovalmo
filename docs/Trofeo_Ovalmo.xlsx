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'Partite'!$A$2:$K$92</definedName>
    <definedName name="_xlnm._FilterDatabase" localSheetId="2" hidden="1">'Pronostici'!$A$2:$D$92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'Classifica'!$A$33:$A$41</f>
            </numRef>
          </cat>
          <val>
            <numRef>
              <f>'Classifica'!$R$33:$R$41</f>
            </numRef>
          </val>
          <smooth val="0"/>
        </ser>
        <ser>
          <idx val="1"/>
          <order val="1"/>
          <tx>
            <strRef>
              <f>'Classifica'!S32</f>
            </strRef>
          </tx>
          <spPr>
            <a:ln w="22000">
              <a:solidFill>
                <a:srgbClr val="3E8E5A"/>
              </a:solidFill>
              <a:prstDash val="solid"/>
            </a:ln>
          </spPr>
          <marker>
            <symbol val="circle"/>
            <size val="6"/>
            <spPr>
              <a:ln>
                <a:prstDash val="solid"/>
              </a:ln>
            </spPr>
          </marker>
          <cat>
            <numRef>
              <f>'Classifica'!$A$33:$A$41</f>
            </numRef>
          </cat>
          <val>
            <numRef>
              <f>'Classifica'!$S$33:$S$41</f>
            </numRef>
          </val>
          <smooth val="0"/>
        </ser>
        <ser>
          <idx val="2"/>
          <order val="2"/>
          <tx>
            <strRef>
              <f>'Classifica'!T32</f>
            </strRef>
          </tx>
          <spPr>
            <a:ln w="22000">
              <a:solidFill>
                <a:srgbClr val="C2622F"/>
              </a:solidFill>
              <a:prstDash val="solid"/>
            </a:ln>
          </spPr>
          <marker>
            <symbol val="circle"/>
            <size val="6"/>
            <spPr>
              <a:ln>
                <a:prstDash val="solid"/>
              </a:ln>
            </spPr>
          </marker>
          <cat>
            <numRef>
              <f>'Classifica'!$A$33:$A$41</f>
            </numRef>
          </cat>
          <val>
            <numRef>
              <f>'Classifica'!$T$33:$T$41</f>
            </numRef>
          </val>
          <smooth val="0"/>
        </ser>
        <ser>
          <idx val="3"/>
          <order val="3"/>
          <tx>
            <strRef>
              <f>'Classifica'!U32</f>
            </strRef>
          </tx>
          <spPr>
            <a:ln w="22000">
              <a:solidFill>
                <a:srgbClr val="6A56A8"/>
              </a:solidFill>
              <a:prstDash val="solid"/>
            </a:ln>
          </spPr>
          <marker>
            <symbol val="circle"/>
            <size val="6"/>
            <spPr>
              <a:ln>
                <a:prstDash val="solid"/>
              </a:ln>
            </spPr>
          </marker>
          <cat>
            <numRef>
              <f>'Classifica'!$A$33:$A$41</f>
            </numRef>
          </cat>
          <val>
            <numRef>
              <f>'Classifica'!$U$33:$U$41</f>
            </numRef>
          </val>
          <smooth val="0"/>
        </ser>
        <ser>
          <idx val="4"/>
          <order val="4"/>
          <tx>
            <strRef>
              <f>'Classifica'!V32</f>
            </strRef>
          </tx>
          <spPr>
            <a:ln w="22000">
              <a:solidFill>
                <a:srgbClr val="B08A1E"/>
              </a:solidFill>
              <a:prstDash val="solid"/>
            </a:ln>
          </spPr>
          <marker>
            <symbol val="circle"/>
            <size val="6"/>
            <spPr>
              <a:ln>
                <a:prstDash val="solid"/>
              </a:ln>
            </spPr>
          </marker>
          <cat>
            <numRef>
              <f>'Classifica'!$A$33:$A$41</f>
            </numRef>
          </cat>
          <val>
            <numRef>
              <f>'Classifica'!$V$33:$V$41</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43</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1"/>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COUNTIF($B$33:$B$41,"Completata")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COUNTIF($B$33:$B$41,"Completata")+COUNTIF($B$33:$B$41,"In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IF($L$5=0,"-",SUMPRODUCT(MAX(($B$33:$B$41="Completata")*$A$33:$A$41)))</f>
        <v/>
      </c>
    </row>
    <row r="8">
      <c r="K8" s="12" t="inlineStr">
        <is>
          <t>Prossima da giocare</t>
        </is>
      </c>
      <c r="L8" s="13">
        <f>IF(SUMPRODUCT(MIN(($B$33:$B$41&lt;&gt;"Completata")*$A$33:$A$41+($B$33:$B$41="Completata")*999))&gt;=999,"-",SUMPRODUCT(MIN(($B$33:$B$41&lt;&gt;"Completata")*$A$33:$A$41+($B$33:$B$41="Completata")*999)))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SUM(Punti!$D$3:$D$92)</f>
        <v/>
      </c>
      <c r="D12" s="25">
        <f>COUNTIF(Punti!$D$3:$D$92,Config!$D$7)+COUNTIF(Punti!$D$3:$D$92,Config!$D$6)</f>
        <v/>
      </c>
      <c r="E12" s="25">
        <f>COUNTIF(Punti!$D$3:$D$92,Config!$D$6)</f>
        <v/>
      </c>
      <c r="F12" s="25">
        <f>SUMPRODUCT(((Pronostici!$E$3:$E$92&lt;&gt;"")+(Pronostici!$F$3:$F$92&lt;&gt;""))*1&gt;0)</f>
        <v/>
      </c>
      <c r="G12" s="26">
        <f>IF($L$6=0,0,$C12/$L$6)</f>
        <v/>
      </c>
      <c r="H12" s="25">
        <f>SUMPRODUCT(($C$33:$C$41=$H$33:$H$41)*($H$33:$H$41&gt;0)*($B$33:$B$41="Completata"))</f>
        <v/>
      </c>
    </row>
    <row r="13" ht="20" customHeight="1">
      <c r="A13" s="27">
        <f>SUMPRODUCT((($C$12:$C$16*1000+$E$12:$E$16)&gt;($C13*1000+$E13))*1)+1</f>
        <v/>
      </c>
      <c r="B13" s="28">
        <f>Config!$A$7</f>
        <v/>
      </c>
      <c r="C13" s="29">
        <f>SUM(Punti!$E$3:$E$92)</f>
        <v/>
      </c>
      <c r="D13" s="30">
        <f>COUNTIF(Punti!$E$3:$E$92,Config!$D$7)+COUNTIF(Punti!$E$3:$E$92,Config!$D$6)</f>
        <v/>
      </c>
      <c r="E13" s="30">
        <f>COUNTIF(Punti!$E$3:$E$92,Config!$D$6)</f>
        <v/>
      </c>
      <c r="F13" s="30">
        <f>SUMPRODUCT(((Pronostici!$H$3:$H$92&lt;&gt;"")+(Pronostici!$I$3:$I$92&lt;&gt;""))*1&gt;0)</f>
        <v/>
      </c>
      <c r="G13" s="31">
        <f>IF($L$6=0,0,$C13/$L$6)</f>
        <v/>
      </c>
      <c r="H13" s="30">
        <f>SUMPRODUCT(($D$33:$D$41=$H$33:$H$41)*($H$33:$H$41&gt;0)*($B$33:$B$41="Completata"))</f>
        <v/>
      </c>
    </row>
    <row r="14" ht="20" customHeight="1">
      <c r="A14" s="22">
        <f>SUMPRODUCT((($C$12:$C$16*1000+$E$12:$E$16)&gt;($C14*1000+$E14))*1)+1</f>
        <v/>
      </c>
      <c r="B14" s="32">
        <f>Config!$A$8</f>
        <v/>
      </c>
      <c r="C14" s="24">
        <f>SUM(Punti!$F$3:$F$92)</f>
        <v/>
      </c>
      <c r="D14" s="25">
        <f>COUNTIF(Punti!$F$3:$F$92,Config!$D$7)+COUNTIF(Punti!$F$3:$F$92,Config!$D$6)</f>
        <v/>
      </c>
      <c r="E14" s="25">
        <f>COUNTIF(Punti!$F$3:$F$92,Config!$D$6)</f>
        <v/>
      </c>
      <c r="F14" s="25">
        <f>SUMPRODUCT(((Pronostici!$K$3:$K$92&lt;&gt;"")+(Pronostici!$L$3:$L$92&lt;&gt;""))*1&gt;0)</f>
        <v/>
      </c>
      <c r="G14" s="26">
        <f>IF($L$6=0,0,$C14/$L$6)</f>
        <v/>
      </c>
      <c r="H14" s="25">
        <f>SUMPRODUCT(($E$33:$E$41=$H$33:$H$41)*($H$33:$H$41&gt;0)*($B$33:$B$41="Completata"))</f>
        <v/>
      </c>
    </row>
    <row r="15" ht="20" customHeight="1">
      <c r="A15" s="27">
        <f>SUMPRODUCT((($C$12:$C$16*1000+$E$12:$E$16)&gt;($C15*1000+$E15))*1)+1</f>
        <v/>
      </c>
      <c r="B15" s="33">
        <f>Config!$A$9</f>
        <v/>
      </c>
      <c r="C15" s="29">
        <f>SUM(Punti!$G$3:$G$92)</f>
        <v/>
      </c>
      <c r="D15" s="30">
        <f>COUNTIF(Punti!$G$3:$G$92,Config!$D$7)+COUNTIF(Punti!$G$3:$G$92,Config!$D$6)</f>
        <v/>
      </c>
      <c r="E15" s="30">
        <f>COUNTIF(Punti!$G$3:$G$92,Config!$D$6)</f>
        <v/>
      </c>
      <c r="F15" s="30">
        <f>SUMPRODUCT(((Pronostici!$N$3:$N$92&lt;&gt;"")+(Pronostici!$O$3:$O$92&lt;&gt;""))*1&gt;0)</f>
        <v/>
      </c>
      <c r="G15" s="31">
        <f>IF($L$6=0,0,$C15/$L$6)</f>
        <v/>
      </c>
      <c r="H15" s="30">
        <f>SUMPRODUCT(($F$33:$F$41=$H$33:$H$41)*($H$33:$H$41&gt;0)*($B$33:$B$41="Completata"))</f>
        <v/>
      </c>
    </row>
    <row r="16" ht="20" customHeight="1">
      <c r="A16" s="22">
        <f>SUMPRODUCT((($C$12:$C$16*1000+$E$12:$E$16)&gt;($C16*1000+$E16))*1)+1</f>
        <v/>
      </c>
      <c r="B16" s="34">
        <f>Config!$A$10</f>
        <v/>
      </c>
      <c r="C16" s="24">
        <f>SUM(Punti!$H$3:$H$92)</f>
        <v/>
      </c>
      <c r="D16" s="25">
        <f>COUNTIF(Punti!$H$3:$H$92,Config!$D$7)+COUNTIF(Punti!$H$3:$H$92,Config!$D$6)</f>
        <v/>
      </c>
      <c r="E16" s="25">
        <f>COUNTIF(Punti!$H$3:$H$92,Config!$D$6)</f>
        <v/>
      </c>
      <c r="F16" s="25">
        <f>SUMPRODUCT(((Pronostici!$Q$3:$Q$92&lt;&gt;"")+(Pronostici!$R$3:$R$92&lt;&gt;""))*1&gt;0)</f>
        <v/>
      </c>
      <c r="G16" s="26">
        <f>IF($L$6=0,0,$C16/$L$6)</f>
        <v/>
      </c>
      <c r="H16" s="25">
        <f>SUMPRODUCT(($G$33:$G$41=$H$33:$H$41)*($H$33:$H$41&gt;0)*($B$33:$B$41="Completata"))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IF($L$7="-","-",IFERROR(INDEX($C$33:$C$41,MATCH($L$7,$A$33:$A$41,0)),"-"))</f>
        <v/>
      </c>
      <c r="D20" s="40">
        <f>IF($L$7="-","",IF(IFERROR(INDEX($C$33:$C$41,MATCH($L$7,$A$33:$A$41,0)),0)=IFERROR(INDEX($H$33:$H$41,MATCH($L$7,$A$33:$A$41,0)),-1),"RE DELLA GIORNATA",""))</f>
        <v/>
      </c>
      <c r="E20" s="41" t="n"/>
      <c r="K20" s="42">
        <f>IFERROR(INDEX(Partite!$E$3:$E$92,MATCH("G"&amp;TEXT($L$8,"00")&amp;"-"&amp;TEXT(1,"00"),Partite!$A$3:$A$92,0))&amp;"   -   "&amp;INDEX(Partite!$F$3:$F$92,MATCH("G"&amp;TEXT($L$8,"00")&amp;"-"&amp;TEXT(1,"00"),Partite!$A$3:$A$92,0)),"-")</f>
        <v/>
      </c>
      <c r="L20" s="43" t="n"/>
      <c r="M20" s="43" t="n"/>
      <c r="N20" s="44">
        <f>Config!$A$6</f>
        <v/>
      </c>
      <c r="O20" s="45">
        <f>IF($L$8="-","-",SUMPRODUCT((Pronostici!$B$3:$B$92=$L$8)*(((Pronostici!$E$3:$E$92&lt;&gt;"")+(Pronostici!$F$3:$F$92&lt;&gt;""))&gt;0))&amp;"/10")</f>
        <v/>
      </c>
    </row>
    <row r="21">
      <c r="B21" s="28">
        <f>Config!$A$7</f>
        <v/>
      </c>
      <c r="C21" s="24">
        <f>IF($L$7="-","-",IFERROR(INDEX($D$33:$D$41,MATCH($L$7,$A$33:$A$41,0)),"-"))</f>
        <v/>
      </c>
      <c r="D21" s="40">
        <f>IF($L$7="-","",IF(IFERROR(INDEX($D$33:$D$41,MATCH($L$7,$A$33:$A$41,0)),0)=IFERROR(INDEX($H$33:$H$41,MATCH($L$7,$A$33:$A$41,0)),-1),"RE DELLA GIORNATA",""))</f>
        <v/>
      </c>
      <c r="E21" s="41" t="n"/>
      <c r="K21" s="46">
        <f>IFERROR(INDEX(Partite!$E$3:$E$92,MATCH("G"&amp;TEXT($L$8,"00")&amp;"-"&amp;TEXT(2,"00"),Partite!$A$3:$A$92,0))&amp;"   -   "&amp;INDEX(Partite!$F$3:$F$92,MATCH("G"&amp;TEXT($L$8,"00")&amp;"-"&amp;TEXT(2,"00"),Partite!$A$3:$A$92,0)),"-")</f>
        <v/>
      </c>
      <c r="L21" s="47" t="n"/>
      <c r="M21" s="47" t="n"/>
      <c r="N21" s="48">
        <f>Config!$A$7</f>
        <v/>
      </c>
      <c r="O21" s="45">
        <f>IF($L$8="-","-",SUMPRODUCT((Pronostici!$B$3:$B$92=$L$8)*(((Pronostici!$H$3:$H$92&lt;&gt;"")+(Pronostici!$I$3:$I$92&lt;&gt;""))&gt;0))&amp;"/10")</f>
        <v/>
      </c>
    </row>
    <row r="22">
      <c r="B22" s="32">
        <f>Config!$A$8</f>
        <v/>
      </c>
      <c r="C22" s="24">
        <f>IF($L$7="-","-",IFERROR(INDEX($E$33:$E$41,MATCH($L$7,$A$33:$A$41,0)),"-"))</f>
        <v/>
      </c>
      <c r="D22" s="40">
        <f>IF($L$7="-","",IF(IFERROR(INDEX($E$33:$E$41,MATCH($L$7,$A$33:$A$41,0)),0)=IFERROR(INDEX($H$33:$H$41,MATCH($L$7,$A$33:$A$41,0)),-1),"RE DELLA GIORNATA",""))</f>
        <v/>
      </c>
      <c r="E22" s="41" t="n"/>
      <c r="K22" s="42">
        <f>IFERROR(INDEX(Partite!$E$3:$E$92,MATCH("G"&amp;TEXT($L$8,"00")&amp;"-"&amp;TEXT(3,"00"),Partite!$A$3:$A$92,0))&amp;"   -   "&amp;INDEX(Partite!$F$3:$F$92,MATCH("G"&amp;TEXT($L$8,"00")&amp;"-"&amp;TEXT(3,"00"),Partite!$A$3:$A$92,0)),"-")</f>
        <v/>
      </c>
      <c r="L22" s="43" t="n"/>
      <c r="M22" s="43" t="n"/>
      <c r="N22" s="49">
        <f>Config!$A$8</f>
        <v/>
      </c>
      <c r="O22" s="45">
        <f>IF($L$8="-","-",SUMPRODUCT((Pronostici!$B$3:$B$92=$L$8)*(((Pronostici!$K$3:$K$92&lt;&gt;"")+(Pronostici!$L$3:$L$92&lt;&gt;""))&gt;0))&amp;"/10")</f>
        <v/>
      </c>
    </row>
    <row r="23">
      <c r="B23" s="33">
        <f>Config!$A$9</f>
        <v/>
      </c>
      <c r="C23" s="24">
        <f>IF($L$7="-","-",IFERROR(INDEX($F$33:$F$41,MATCH($L$7,$A$33:$A$41,0)),"-"))</f>
        <v/>
      </c>
      <c r="D23" s="40">
        <f>IF($L$7="-","",IF(IFERROR(INDEX($F$33:$F$41,MATCH($L$7,$A$33:$A$41,0)),0)=IFERROR(INDEX($H$33:$H$41,MATCH($L$7,$A$33:$A$41,0)),-1),"RE DELLA GIORNATA",""))</f>
        <v/>
      </c>
      <c r="E23" s="41" t="n"/>
      <c r="K23" s="46">
        <f>IFERROR(INDEX(Partite!$E$3:$E$92,MATCH("G"&amp;TEXT($L$8,"00")&amp;"-"&amp;TEXT(4,"00"),Partite!$A$3:$A$92,0))&amp;"   -   "&amp;INDEX(Partite!$F$3:$F$92,MATCH("G"&amp;TEXT($L$8,"00")&amp;"-"&amp;TEXT(4,"00"),Partite!$A$3:$A$92,0)),"-")</f>
        <v/>
      </c>
      <c r="L23" s="47" t="n"/>
      <c r="M23" s="47" t="n"/>
      <c r="N23" s="50">
        <f>Config!$A$9</f>
        <v/>
      </c>
      <c r="O23" s="45">
        <f>IF($L$8="-","-",SUMPRODUCT((Pronostici!$B$3:$B$92=$L$8)*(((Pronostici!$N$3:$N$92&lt;&gt;"")+(Pronostici!$O$3:$O$92&lt;&gt;""))&gt;0))&amp;"/10")</f>
        <v/>
      </c>
    </row>
    <row r="24">
      <c r="B24" s="34">
        <f>Config!$A$10</f>
        <v/>
      </c>
      <c r="C24" s="24">
        <f>IF($L$7="-","-",IFERROR(INDEX($G$33:$G$41,MATCH($L$7,$A$33:$A$41,0)),"-"))</f>
        <v/>
      </c>
      <c r="D24" s="40">
        <f>IF($L$7="-","",IF(IFERROR(INDEX($G$33:$G$41,MATCH($L$7,$A$33:$A$41,0)),0)=IFERROR(INDEX($H$33:$H$41,MATCH($L$7,$A$33:$A$41,0)),-1),"RE DELLA GIORNATA",""))</f>
        <v/>
      </c>
      <c r="E24" s="41" t="n"/>
      <c r="K24" s="42">
        <f>IFERROR(INDEX(Partite!$E$3:$E$92,MATCH("G"&amp;TEXT($L$8,"00")&amp;"-"&amp;TEXT(5,"00"),Partite!$A$3:$A$92,0))&amp;"   -   "&amp;INDEX(Partite!$F$3:$F$92,MATCH("G"&amp;TEXT($L$8,"00")&amp;"-"&amp;TEXT(5,"00"),Partite!$A$3:$A$92,0)),"-")</f>
        <v/>
      </c>
      <c r="L24" s="43" t="n"/>
      <c r="M24" s="43" t="n"/>
      <c r="N24" s="51">
        <f>Config!$A$10</f>
        <v/>
      </c>
      <c r="O24" s="45">
        <f>IF($L$8="-","-",SUMPRODUCT((Pronostici!$B$3:$B$92=$L$8)*(((Pronostici!$Q$3:$Q$92&lt;&gt;"")+(Pronostici!$R$3:$R$92&lt;&gt;""))&gt;0))&amp;"/10")</f>
        <v/>
      </c>
    </row>
    <row r="25">
      <c r="K25" s="46">
        <f>IFERROR(INDEX(Partite!$E$3:$E$92,MATCH("G"&amp;TEXT($L$8,"00")&amp;"-"&amp;TEXT(6,"00"),Partite!$A$3:$A$92,0))&amp;"   -   "&amp;INDEX(Partite!$F$3:$F$92,MATCH("G"&amp;TEXT($L$8,"00")&amp;"-"&amp;TEXT(6,"00"),Partite!$A$3:$A$92,0)),"-")</f>
        <v/>
      </c>
      <c r="L25" s="47" t="n"/>
      <c r="M25" s="47" t="n"/>
      <c r="N25" s="35" t="inlineStr">
        <is>
          <t>chi e' sotto 10 non ha finito</t>
        </is>
      </c>
    </row>
    <row r="26">
      <c r="K26" s="42">
        <f>IFERROR(INDEX(Partite!$E$3:$E$92,MATCH("G"&amp;TEXT($L$8,"00")&amp;"-"&amp;TEXT(7,"00"),Partite!$A$3:$A$92,0))&amp;"   -   "&amp;INDEX(Partite!$F$3:$F$92,MATCH("G"&amp;TEXT($L$8,"00")&amp;"-"&amp;TEXT(7,"00"),Partite!$A$3:$A$92,0)),"-")</f>
        <v/>
      </c>
      <c r="L26" s="43" t="n"/>
      <c r="M26" s="43" t="n"/>
    </row>
    <row r="27">
      <c r="K27" s="46">
        <f>IFERROR(INDEX(Partite!$E$3:$E$92,MATCH("G"&amp;TEXT($L$8,"00")&amp;"-"&amp;TEXT(8,"00"),Partite!$A$3:$A$92,0))&amp;"   -   "&amp;INDEX(Partite!$F$3:$F$92,MATCH("G"&amp;TEXT($L$8,"00")&amp;"-"&amp;TEXT(8,"00"),Partite!$A$3:$A$92,0)),"-")</f>
        <v/>
      </c>
      <c r="L27" s="47" t="n"/>
      <c r="M27" s="47" t="n"/>
    </row>
    <row r="28">
      <c r="K28" s="42">
        <f>IFERROR(INDEX(Partite!$E$3:$E$92,MATCH("G"&amp;TEXT($L$8,"00")&amp;"-"&amp;TEXT(9,"00"),Partite!$A$3:$A$92,0))&amp;"   -   "&amp;INDEX(Partite!$F$3:$F$92,MATCH("G"&amp;TEXT($L$8,"00")&amp;"-"&amp;TEXT(9,"00"),Partite!$A$3:$A$92,0)),"-")</f>
        <v/>
      </c>
      <c r="L28" s="43" t="n"/>
      <c r="M28" s="43" t="n"/>
    </row>
    <row r="29">
      <c r="K29" s="46">
        <f>IFERROR(INDEX(Partite!$E$3:$E$92,MATCH("G"&amp;TEXT($L$8,"00")&amp;"-"&amp;TEXT(10,"00"),Partite!$A$3:$A$92,0))&amp;"   -   "&amp;INDEX(Partite!$F$3:$F$92,MATCH("G"&amp;TEXT($L$8,"00")&amp;"-"&amp;TEXT(10,"00"),Partite!$A$3:$A$92,0)),"-")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IF(COUNTIFS(Partite!$B$3:$B$92,$A33,Partite!$E$3:$E$92,"&lt;&gt;")=0,"Calendario mancante",IF(COUNTIFS(Partite!$B$3:$B$92,$A33,Partite!$K$3:$K$92,"Giocata")=0,"Non giocata",IF(COUNTIFS(Partite!$B$3:$B$92,$A33,Partite!$K$3:$K$92,"Giocata")=COUNTIFS(Partite!$B$3:$B$92,$A33,Partite!$E$3:$E$92,"&lt;&gt;"),"Completata","In corso")))</f>
        <v/>
      </c>
      <c r="C33" s="25">
        <f>SUMIF(Punti!$B$3:$B$92,$A33,Punti!$D$3:$D$92)</f>
        <v/>
      </c>
      <c r="D33" s="25">
        <f>SUMIF(Punti!$B$3:$B$92,$A33,Punti!$E$3:$E$92)</f>
        <v/>
      </c>
      <c r="E33" s="25">
        <f>SUMIF(Punti!$B$3:$B$92,$A33,Punti!$F$3:$F$92)</f>
        <v/>
      </c>
      <c r="F33" s="25">
        <f>SUMIF(Punti!$B$3:$B$92,$A33,Punti!$G$3:$G$92)</f>
        <v/>
      </c>
      <c r="G33" s="25">
        <f>SUMIF(Punti!$B$3:$B$92,$A33,Punti!$H$3:$H$92)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IF(COUNTIFS(Partite!$B$3:$B$92,$A34,Partite!$E$3:$E$92,"&lt;&gt;")=0,"Calendario mancante",IF(COUNTIFS(Partite!$B$3:$B$92,$A34,Partite!$K$3:$K$92,"Giocata")=0,"Non giocata",IF(COUNTIFS(Partite!$B$3:$B$92,$A34,Partite!$K$3:$K$92,"Giocata")=COUNTIFS(Partite!$B$3:$B$92,$A34,Partite!$E$3:$E$92,"&lt;&gt;"),"Completata","In corso")))</f>
        <v/>
      </c>
      <c r="C34" s="30">
        <f>SUMIF(Punti!$B$3:$B$92,$A34,Punti!$D$3:$D$92)</f>
        <v/>
      </c>
      <c r="D34" s="30">
        <f>SUMIF(Punti!$B$3:$B$92,$A34,Punti!$E$3:$E$92)</f>
        <v/>
      </c>
      <c r="E34" s="30">
        <f>SUMIF(Punti!$B$3:$B$92,$A34,Punti!$F$3:$F$92)</f>
        <v/>
      </c>
      <c r="F34" s="30">
        <f>SUMIF(Punti!$B$3:$B$92,$A34,Punti!$G$3:$G$92)</f>
        <v/>
      </c>
      <c r="G34" s="30">
        <f>SUMIF(Punti!$B$3:$B$92,$A34,Punti!$H$3:$H$92)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IF(COUNTIFS(Partite!$B$3:$B$92,$A35,Partite!$E$3:$E$92,"&lt;&gt;")=0,"Calendario mancante",IF(COUNTIFS(Partite!$B$3:$B$92,$A35,Partite!$K$3:$K$92,"Giocata")=0,"Non giocata",IF(COUNTIFS(Partite!$B$3:$B$92,$A35,Partite!$K$3:$K$92,"Giocata")=COUNTIFS(Partite!$B$3:$B$92,$A35,Partite!$E$3:$E$92,"&lt;&gt;"),"Completata","In corso")))</f>
        <v/>
      </c>
      <c r="C35" s="25">
        <f>SUMIF(Punti!$B$3:$B$92,$A35,Punti!$D$3:$D$92)</f>
        <v/>
      </c>
      <c r="D35" s="25">
        <f>SUMIF(Punti!$B$3:$B$92,$A35,Punti!$E$3:$E$92)</f>
        <v/>
      </c>
      <c r="E35" s="25">
        <f>SUMIF(Punti!$B$3:$B$92,$A35,Punti!$F$3:$F$92)</f>
        <v/>
      </c>
      <c r="F35" s="25">
        <f>SUMIF(Punti!$B$3:$B$92,$A35,Punti!$G$3:$G$92)</f>
        <v/>
      </c>
      <c r="G35" s="25">
        <f>SUMIF(Punti!$B$3:$B$92,$A35,Punti!$H$3:$H$92)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IF(COUNTIFS(Partite!$B$3:$B$92,$A36,Partite!$E$3:$E$92,"&lt;&gt;")=0,"Calendario mancante",IF(COUNTIFS(Partite!$B$3:$B$92,$A36,Partite!$K$3:$K$92,"Giocata")=0,"Non giocata",IF(COUNTIFS(Partite!$B$3:$B$92,$A36,Partite!$K$3:$K$92,"Giocata")=COUNTIFS(Partite!$B$3:$B$92,$A36,Partite!$E$3:$E$92,"&lt;&gt;"),"Completata","In corso")))</f>
        <v/>
      </c>
      <c r="C36" s="30">
        <f>SUMIF(Punti!$B$3:$B$92,$A36,Punti!$D$3:$D$92)</f>
        <v/>
      </c>
      <c r="D36" s="30">
        <f>SUMIF(Punti!$B$3:$B$92,$A36,Punti!$E$3:$E$92)</f>
        <v/>
      </c>
      <c r="E36" s="30">
        <f>SUMIF(Punti!$B$3:$B$92,$A36,Punti!$F$3:$F$92)</f>
        <v/>
      </c>
      <c r="F36" s="30">
        <f>SUMIF(Punti!$B$3:$B$92,$A36,Punti!$G$3:$G$92)</f>
        <v/>
      </c>
      <c r="G36" s="30">
        <f>SUMIF(Punti!$B$3:$B$92,$A36,Punti!$H$3:$H$92)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IF(COUNTIFS(Partite!$B$3:$B$92,$A37,Partite!$E$3:$E$92,"&lt;&gt;")=0,"Calendario mancante",IF(COUNTIFS(Partite!$B$3:$B$92,$A37,Partite!$K$3:$K$92,"Giocata")=0,"Non giocata",IF(COUNTIFS(Partite!$B$3:$B$92,$A37,Partite!$K$3:$K$92,"Giocata")=COUNTIFS(Partite!$B$3:$B$92,$A37,Partite!$E$3:$E$92,"&lt;&gt;"),"Completata","In corso")))</f>
        <v/>
      </c>
      <c r="C37" s="25">
        <f>SUMIF(Punti!$B$3:$B$92,$A37,Punti!$D$3:$D$92)</f>
        <v/>
      </c>
      <c r="D37" s="25">
        <f>SUMIF(Punti!$B$3:$B$92,$A37,Punti!$E$3:$E$92)</f>
        <v/>
      </c>
      <c r="E37" s="25">
        <f>SUMIF(Punti!$B$3:$B$92,$A37,Punti!$F$3:$F$92)</f>
        <v/>
      </c>
      <c r="F37" s="25">
        <f>SUMIF(Punti!$B$3:$B$92,$A37,Punti!$G$3:$G$92)</f>
        <v/>
      </c>
      <c r="G37" s="25">
        <f>SUMIF(Punti!$B$3:$B$92,$A37,Punti!$H$3:$H$92)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IF(COUNTIFS(Partite!$B$3:$B$92,$A38,Partite!$E$3:$E$92,"&lt;&gt;")=0,"Calendario mancante",IF(COUNTIFS(Partite!$B$3:$B$92,$A38,Partite!$K$3:$K$92,"Giocata")=0,"Non giocata",IF(COUNTIFS(Partite!$B$3:$B$92,$A38,Partite!$K$3:$K$92,"Giocata")=COUNTIFS(Partite!$B$3:$B$92,$A38,Partite!$E$3:$E$92,"&lt;&gt;"),"Completata","In corso")))</f>
        <v/>
      </c>
      <c r="C38" s="30">
        <f>SUMIF(Punti!$B$3:$B$92,$A38,Punti!$D$3:$D$92)</f>
        <v/>
      </c>
      <c r="D38" s="30">
        <f>SUMIF(Punti!$B$3:$B$92,$A38,Punti!$E$3:$E$92)</f>
        <v/>
      </c>
      <c r="E38" s="30">
        <f>SUMIF(Punti!$B$3:$B$92,$A38,Punti!$F$3:$F$92)</f>
        <v/>
      </c>
      <c r="F38" s="30">
        <f>SUMIF(Punti!$B$3:$B$92,$A38,Punti!$G$3:$G$92)</f>
        <v/>
      </c>
      <c r="G38" s="30">
        <f>SUMIF(Punti!$B$3:$B$92,$A38,Punti!$H$3:$H$92)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IF(COUNTIFS(Partite!$B$3:$B$92,$A39,Partite!$E$3:$E$92,"&lt;&gt;")=0,"Calendario mancante",IF(COUNTIFS(Partite!$B$3:$B$92,$A39,Partite!$K$3:$K$92,"Giocata")=0,"Non giocata",IF(COUNTIFS(Partite!$B$3:$B$92,$A39,Partite!$K$3:$K$92,"Giocata")=COUNTIFS(Partite!$B$3:$B$92,$A39,Partite!$E$3:$E$92,"&lt;&gt;"),"Completata","In corso")))</f>
        <v/>
      </c>
      <c r="C39" s="25">
        <f>SUMIF(Punti!$B$3:$B$92,$A39,Punti!$D$3:$D$92)</f>
        <v/>
      </c>
      <c r="D39" s="25">
        <f>SUMIF(Punti!$B$3:$B$92,$A39,Punti!$E$3:$E$92)</f>
        <v/>
      </c>
      <c r="E39" s="25">
        <f>SUMIF(Punti!$B$3:$B$92,$A39,Punti!$F$3:$F$92)</f>
        <v/>
      </c>
      <c r="F39" s="25">
        <f>SUMIF(Punti!$B$3:$B$92,$A39,Punti!$G$3:$G$92)</f>
        <v/>
      </c>
      <c r="G39" s="25">
        <f>SUMIF(Punti!$B$3:$B$92,$A39,Punti!$H$3:$H$92)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IF(COUNTIFS(Partite!$B$3:$B$92,$A40,Partite!$E$3:$E$92,"&lt;&gt;")=0,"Calendario mancante",IF(COUNTIFS(Partite!$B$3:$B$92,$A40,Partite!$K$3:$K$92,"Giocata")=0,"Non giocata",IF(COUNTIFS(Partite!$B$3:$B$92,$A40,Partite!$K$3:$K$92,"Giocata")=COUNTIFS(Partite!$B$3:$B$92,$A40,Partite!$E$3:$E$92,"&lt;&gt;"),"Completata","In corso")))</f>
        <v/>
      </c>
      <c r="C40" s="30">
        <f>SUMIF(Punti!$B$3:$B$92,$A40,Punti!$D$3:$D$92)</f>
        <v/>
      </c>
      <c r="D40" s="30">
        <f>SUMIF(Punti!$B$3:$B$92,$A40,Punti!$E$3:$E$92)</f>
        <v/>
      </c>
      <c r="E40" s="30">
        <f>SUMIF(Punti!$B$3:$B$92,$A40,Punti!$F$3:$F$92)</f>
        <v/>
      </c>
      <c r="F40" s="30">
        <f>SUMIF(Punti!$B$3:$B$92,$A40,Punti!$G$3:$G$92)</f>
        <v/>
      </c>
      <c r="G40" s="30">
        <f>SUMIF(Punti!$B$3:$B$92,$A40,Punti!$H$3:$H$92)</f>
        <v/>
      </c>
      <c r="H40" s="61">
        <f>MAX($C40:$G40)</f>
        <v/>
      </c>
      <c r="I40" s="64">
        <f>IF($H40&lt;=0,"-",INDEX($C$32:$G$32,MATCH($H40,$C40:$G40,0))&amp;IF(COUNTIF($C40:$G40,$H40)&gt;1," (a pari)","")&amp;IF($B40="Completata",""," - in corso"))</f>
        <v/>
      </c>
      <c r="R40" s="63">
        <f>R39+C40</f>
        <v/>
      </c>
      <c r="S40" s="63">
        <f>S39+D40</f>
        <v/>
      </c>
      <c r="T40" s="63">
        <f>T39+E40</f>
        <v/>
      </c>
      <c r="U40" s="63">
        <f>U39+F40</f>
        <v/>
      </c>
      <c r="V40" s="63">
        <f>V39+G40</f>
        <v/>
      </c>
    </row>
    <row r="41">
      <c r="A41" s="22" t="n">
        <v>10</v>
      </c>
      <c r="B41" s="43">
        <f>IF(COUNTIFS(Partite!$B$3:$B$92,$A41,Partite!$E$3:$E$92,"&lt;&gt;")=0,"Calendario mancante",IF(COUNTIFS(Partite!$B$3:$B$92,$A41,Partite!$K$3:$K$92,"Giocata")=0,"Non giocata",IF(COUNTIFS(Partite!$B$3:$B$92,$A41,Partite!$K$3:$K$92,"Giocata")=COUNTIFS(Partite!$B$3:$B$92,$A41,Partite!$E$3:$E$92,"&lt;&gt;"),"Completata","In corso")))</f>
        <v/>
      </c>
      <c r="C41" s="25">
        <f>SUMIF(Punti!$B$3:$B$92,$A41,Punti!$D$3:$D$92)</f>
        <v/>
      </c>
      <c r="D41" s="25">
        <f>SUMIF(Punti!$B$3:$B$92,$A41,Punti!$E$3:$E$92)</f>
        <v/>
      </c>
      <c r="E41" s="25">
        <f>SUMIF(Punti!$B$3:$B$92,$A41,Punti!$F$3:$F$92)</f>
        <v/>
      </c>
      <c r="F41" s="25">
        <f>SUMIF(Punti!$B$3:$B$92,$A41,Punti!$G$3:$G$92)</f>
        <v/>
      </c>
      <c r="G41" s="25">
        <f>SUMIF(Punti!$B$3:$B$92,$A41,Punti!$H$3:$H$92)</f>
        <v/>
      </c>
      <c r="H41" s="61">
        <f>MAX($C41:$G41)</f>
        <v/>
      </c>
      <c r="I41" s="62">
        <f>IF($H41&lt;=0,"-",INDEX($C$32:$G$32,MATCH($H41,$C41:$G41,0))&amp;IF(COUNTIF($C41:$G41,$H41)&gt;1," (a pari)","")&amp;IF($B41="Completata",""," - in corso"))</f>
        <v/>
      </c>
      <c r="R41" s="63">
        <f>R40+C41</f>
        <v/>
      </c>
      <c r="S41" s="63">
        <f>S40+D41</f>
        <v/>
      </c>
      <c r="T41" s="63">
        <f>T40+E41</f>
        <v/>
      </c>
      <c r="U41" s="63">
        <f>U40+F41</f>
        <v/>
      </c>
      <c r="V41" s="63">
        <f>V40+G41</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1">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9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v>3</v>
      </c>
      <c r="H63" s="71" t="n">
        <v>2</v>
      </c>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v>0</v>
      </c>
      <c r="H64" s="71" t="n">
        <v>2</v>
      </c>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v>2</v>
      </c>
      <c r="H65" s="71" t="n">
        <v>0</v>
      </c>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v>3</v>
      </c>
      <c r="H66" s="71" t="n">
        <v>3</v>
      </c>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v>2</v>
      </c>
      <c r="H67" s="71" t="n">
        <v>1</v>
      </c>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v>2</v>
      </c>
      <c r="H68" s="71" t="n">
        <v>1</v>
      </c>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v>4</v>
      </c>
      <c r="H69" s="71" t="n">
        <v>4</v>
      </c>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v>1</v>
      </c>
      <c r="H70" s="71" t="n">
        <v>0</v>
      </c>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v>0</v>
      </c>
      <c r="H71" s="71" t="n">
        <v>2</v>
      </c>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v>0</v>
      </c>
      <c r="H72" s="71" t="n">
        <v>2</v>
      </c>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v>2</v>
      </c>
      <c r="H73" s="71" t="n">
        <v>6</v>
      </c>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v>4</v>
      </c>
      <c r="H74" s="71" t="n">
        <v>2</v>
      </c>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v>1</v>
      </c>
      <c r="H75" s="71" t="n">
        <v>3</v>
      </c>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v>2</v>
      </c>
      <c r="H76" s="71" t="n">
        <v>4</v>
      </c>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v>0</v>
      </c>
      <c r="H77" s="71" t="n">
        <v>0</v>
      </c>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v>0</v>
      </c>
      <c r="H78" s="71" t="n">
        <v>2</v>
      </c>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v>2</v>
      </c>
      <c r="H79" s="71" t="n">
        <v>0</v>
      </c>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v>1</v>
      </c>
      <c r="H80" s="71" t="n">
        <v>4</v>
      </c>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v>5</v>
      </c>
      <c r="H81" s="71" t="n">
        <v>1</v>
      </c>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row r="83">
      <c r="A83" s="69" t="inlineStr">
        <is>
          <t>G10-01</t>
        </is>
      </c>
      <c r="B83" s="25" t="n">
        <v>10</v>
      </c>
      <c r="C83" s="25" t="inlineStr">
        <is>
          <t>31/10/2026</t>
        </is>
      </c>
      <c r="D83" s="25" t="inlineStr">
        <is>
          <t>15:00</t>
        </is>
      </c>
      <c r="E83" s="70" t="inlineStr">
        <is>
          <t>Bologna</t>
        </is>
      </c>
      <c r="F83" s="70" t="inlineStr">
        <is>
          <t>Monza</t>
        </is>
      </c>
      <c r="G83" s="71" t="n"/>
      <c r="H83" s="71" t="n"/>
      <c r="I83" s="72">
        <f>IF(OR($G83="",$H83=""),"",IF($G83&gt;$H83,"1",IF($G83=$H83,"X","2")))</f>
        <v/>
      </c>
      <c r="J83" s="25">
        <f>IF(OR($G83="",$H83=""),"",$G83&amp;"-"&amp;$H83)</f>
        <v/>
      </c>
      <c r="K83" s="73">
        <f>IF($E83="","Calendario da inserire",IF(OR($G83="",$H83=""),"Da giocare","Giocata"))</f>
        <v/>
      </c>
    </row>
    <row r="84">
      <c r="A84" s="69" t="inlineStr">
        <is>
          <t>G10-02</t>
        </is>
      </c>
      <c r="B84" s="25" t="n">
        <v>10</v>
      </c>
      <c r="C84" s="25" t="inlineStr">
        <is>
          <t>31/10/2026</t>
        </is>
      </c>
      <c r="D84" s="25" t="inlineStr">
        <is>
          <t>18:00</t>
        </is>
      </c>
      <c r="E84" s="70" t="inlineStr">
        <is>
          <t>Udinese</t>
        </is>
      </c>
      <c r="F84" s="70" t="inlineStr">
        <is>
          <t>Roma</t>
        </is>
      </c>
      <c r="G84" s="71" t="n"/>
      <c r="H84" s="71" t="n"/>
      <c r="I84" s="72">
        <f>IF(OR($G84="",$H84=""),"",IF($G84&gt;$H84,"1",IF($G84=$H84,"X","2")))</f>
        <v/>
      </c>
      <c r="J84" s="25">
        <f>IF(OR($G84="",$H84=""),"",$G84&amp;"-"&amp;$H84)</f>
        <v/>
      </c>
      <c r="K84" s="73">
        <f>IF($E84="","Calendario da inserire",IF(OR($G84="",$H84=""),"Da giocare","Giocata"))</f>
        <v/>
      </c>
    </row>
    <row r="85">
      <c r="A85" s="69" t="inlineStr">
        <is>
          <t>G10-03</t>
        </is>
      </c>
      <c r="B85" s="25" t="n">
        <v>10</v>
      </c>
      <c r="C85" s="25" t="inlineStr">
        <is>
          <t>31/10/2026</t>
        </is>
      </c>
      <c r="D85" s="25" t="inlineStr">
        <is>
          <t>20:45</t>
        </is>
      </c>
      <c r="E85" s="70" t="inlineStr">
        <is>
          <t>Milan</t>
        </is>
      </c>
      <c r="F85" s="70" t="inlineStr">
        <is>
          <t>Inter</t>
        </is>
      </c>
      <c r="G85" s="71" t="n"/>
      <c r="H85" s="71" t="n"/>
      <c r="I85" s="72">
        <f>IF(OR($G85="",$H85=""),"",IF($G85&gt;$H85,"1",IF($G85=$H85,"X","2")))</f>
        <v/>
      </c>
      <c r="J85" s="25">
        <f>IF(OR($G85="",$H85=""),"",$G85&amp;"-"&amp;$H85)</f>
        <v/>
      </c>
      <c r="K85" s="73">
        <f>IF($E85="","Calendario da inserire",IF(OR($G85="",$H85=""),"Da giocare","Giocata"))</f>
        <v/>
      </c>
    </row>
    <row r="86">
      <c r="A86" s="69" t="inlineStr">
        <is>
          <t>G10-04</t>
        </is>
      </c>
      <c r="B86" s="25" t="n">
        <v>10</v>
      </c>
      <c r="C86" s="25" t="inlineStr">
        <is>
          <t>01/11/2026</t>
        </is>
      </c>
      <c r="D86" s="25" t="inlineStr">
        <is>
          <t>12:30</t>
        </is>
      </c>
      <c r="E86" s="70" t="inlineStr">
        <is>
          <t>Como</t>
        </is>
      </c>
      <c r="F86" s="70" t="inlineStr">
        <is>
          <t>Venezia</t>
        </is>
      </c>
      <c r="G86" s="71" t="n"/>
      <c r="H86" s="71" t="n"/>
      <c r="I86" s="72">
        <f>IF(OR($G86="",$H86=""),"",IF($G86&gt;$H86,"1",IF($G86=$H86,"X","2")))</f>
        <v/>
      </c>
      <c r="J86" s="25">
        <f>IF(OR($G86="",$H86=""),"",$G86&amp;"-"&amp;$H86)</f>
        <v/>
      </c>
      <c r="K86" s="73">
        <f>IF($E86="","Calendario da inserire",IF(OR($G86="",$H86=""),"Da giocare","Giocata"))</f>
        <v/>
      </c>
    </row>
    <row r="87">
      <c r="A87" s="69" t="inlineStr">
        <is>
          <t>G10-05</t>
        </is>
      </c>
      <c r="B87" s="25" t="n">
        <v>10</v>
      </c>
      <c r="C87" s="25" t="inlineStr">
        <is>
          <t>01/11/2026</t>
        </is>
      </c>
      <c r="D87" s="25" t="inlineStr">
        <is>
          <t>15:00</t>
        </is>
      </c>
      <c r="E87" s="70" t="inlineStr">
        <is>
          <t>Frosinone</t>
        </is>
      </c>
      <c r="F87" s="70" t="inlineStr">
        <is>
          <t>Torino</t>
        </is>
      </c>
      <c r="G87" s="71" t="n"/>
      <c r="H87" s="71" t="n"/>
      <c r="I87" s="72">
        <f>IF(OR($G87="",$H87=""),"",IF($G87&gt;$H87,"1",IF($G87=$H87,"X","2")))</f>
        <v/>
      </c>
      <c r="J87" s="25">
        <f>IF(OR($G87="",$H87=""),"",$G87&amp;"-"&amp;$H87)</f>
        <v/>
      </c>
      <c r="K87" s="73">
        <f>IF($E87="","Calendario da inserire",IF(OR($G87="",$H87=""),"Da giocare","Giocata"))</f>
        <v/>
      </c>
    </row>
    <row r="88">
      <c r="A88" s="69" t="inlineStr">
        <is>
          <t>G10-06</t>
        </is>
      </c>
      <c r="B88" s="25" t="n">
        <v>10</v>
      </c>
      <c r="C88" s="25" t="inlineStr">
        <is>
          <t>01/11/2026</t>
        </is>
      </c>
      <c r="D88" s="25" t="inlineStr">
        <is>
          <t>15:00</t>
        </is>
      </c>
      <c r="E88" s="70" t="inlineStr">
        <is>
          <t>Lazio</t>
        </is>
      </c>
      <c r="F88" s="70" t="inlineStr">
        <is>
          <t>Cagliari</t>
        </is>
      </c>
      <c r="G88" s="71" t="n"/>
      <c r="H88" s="71" t="n"/>
      <c r="I88" s="72">
        <f>IF(OR($G88="",$H88=""),"",IF($G88&gt;$H88,"1",IF($G88=$H88,"X","2")))</f>
        <v/>
      </c>
      <c r="J88" s="25">
        <f>IF(OR($G88="",$H88=""),"",$G88&amp;"-"&amp;$H88)</f>
        <v/>
      </c>
      <c r="K88" s="73">
        <f>IF($E88="","Calendario da inserire",IF(OR($G88="",$H88=""),"Da giocare","Giocata"))</f>
        <v/>
      </c>
    </row>
    <row r="89">
      <c r="A89" s="69" t="inlineStr">
        <is>
          <t>G10-07</t>
        </is>
      </c>
      <c r="B89" s="25" t="n">
        <v>10</v>
      </c>
      <c r="C89" s="25" t="inlineStr">
        <is>
          <t>01/11/2026</t>
        </is>
      </c>
      <c r="D89" s="25" t="inlineStr">
        <is>
          <t>18:00</t>
        </is>
      </c>
      <c r="E89" s="70" t="inlineStr">
        <is>
          <t>Lecce</t>
        </is>
      </c>
      <c r="F89" s="70" t="inlineStr">
        <is>
          <t>Genoa</t>
        </is>
      </c>
      <c r="G89" s="71" t="n"/>
      <c r="H89" s="71" t="n"/>
      <c r="I89" s="72">
        <f>IF(OR($G89="",$H89=""),"",IF($G89&gt;$H89,"1",IF($G89=$H89,"X","2")))</f>
        <v/>
      </c>
      <c r="J89" s="25">
        <f>IF(OR($G89="",$H89=""),"",$G89&amp;"-"&amp;$H89)</f>
        <v/>
      </c>
      <c r="K89" s="73">
        <f>IF($E89="","Calendario da inserire",IF(OR($G89="",$H89=""),"Da giocare","Giocata"))</f>
        <v/>
      </c>
    </row>
    <row r="90">
      <c r="A90" s="69" t="inlineStr">
        <is>
          <t>G10-08</t>
        </is>
      </c>
      <c r="B90" s="25" t="n">
        <v>10</v>
      </c>
      <c r="C90" s="25" t="inlineStr">
        <is>
          <t>01/11/2026</t>
        </is>
      </c>
      <c r="D90" s="25" t="inlineStr">
        <is>
          <t>20:45</t>
        </is>
      </c>
      <c r="E90" s="70" t="inlineStr">
        <is>
          <t>Juventus</t>
        </is>
      </c>
      <c r="F90" s="70" t="inlineStr">
        <is>
          <t>Napoli</t>
        </is>
      </c>
      <c r="G90" s="71" t="n"/>
      <c r="H90" s="71" t="n"/>
      <c r="I90" s="72">
        <f>IF(OR($G90="",$H90=""),"",IF($G90&gt;$H90,"1",IF($G90=$H90,"X","2")))</f>
        <v/>
      </c>
      <c r="J90" s="25">
        <f>IF(OR($G90="",$H90=""),"",$G90&amp;"-"&amp;$H90)</f>
        <v/>
      </c>
      <c r="K90" s="73">
        <f>IF($E90="","Calendario da inserire",IF(OR($G90="",$H90=""),"Da giocare","Giocata"))</f>
        <v/>
      </c>
    </row>
    <row r="91">
      <c r="A91" s="69" t="inlineStr">
        <is>
          <t>G10-09</t>
        </is>
      </c>
      <c r="B91" s="25" t="n">
        <v>10</v>
      </c>
      <c r="C91" s="25" t="inlineStr">
        <is>
          <t>02/11/2026</t>
        </is>
      </c>
      <c r="D91" s="25" t="inlineStr">
        <is>
          <t>18:30</t>
        </is>
      </c>
      <c r="E91" s="70" t="inlineStr">
        <is>
          <t>Sassuolo</t>
        </is>
      </c>
      <c r="F91" s="70" t="inlineStr">
        <is>
          <t>Fiorentina</t>
        </is>
      </c>
      <c r="G91" s="71" t="n"/>
      <c r="H91" s="71" t="n"/>
      <c r="I91" s="72">
        <f>IF(OR($G91="",$H91=""),"",IF($G91&gt;$H91,"1",IF($G91=$H91,"X","2")))</f>
        <v/>
      </c>
      <c r="J91" s="25">
        <f>IF(OR($G91="",$H91=""),"",$G91&amp;"-"&amp;$H91)</f>
        <v/>
      </c>
      <c r="K91" s="73">
        <f>IF($E91="","Calendario da inserire",IF(OR($G91="",$H91=""),"Da giocare","Giocata"))</f>
        <v/>
      </c>
    </row>
    <row r="92">
      <c r="A92" s="69" t="inlineStr">
        <is>
          <t>G10-10</t>
        </is>
      </c>
      <c r="B92" s="25" t="n">
        <v>10</v>
      </c>
      <c r="C92" s="25" t="inlineStr">
        <is>
          <t>02/11/2026</t>
        </is>
      </c>
      <c r="D92" s="25" t="inlineStr">
        <is>
          <t>20:45</t>
        </is>
      </c>
      <c r="E92" s="70" t="inlineStr">
        <is>
          <t>Atalanta</t>
        </is>
      </c>
      <c r="F92" s="70" t="inlineStr">
        <is>
          <t>Parma</t>
        </is>
      </c>
      <c r="G92" s="71" t="n"/>
      <c r="H92" s="71" t="n"/>
      <c r="I92" s="72">
        <f>IF(OR($G92="",$H92=""),"",IF($G92&gt;$H92,"1",IF($G92=$H92,"X","2")))</f>
        <v/>
      </c>
      <c r="J92" s="25">
        <f>IF(OR($G92="",$H92=""),"",$G92&amp;"-"&amp;$H92)</f>
        <v/>
      </c>
      <c r="K92" s="73">
        <f>IF($E92="","Calendario da inserire",IF(OR($G92="",$H92=""),"Da giocare","Giocata"))</f>
        <v/>
      </c>
    </row>
  </sheetData>
  <autoFilter ref="A2:K92"/>
  <mergeCells count="3">
    <mergeCell ref="G1:H1"/>
    <mergeCell ref="A1:F1"/>
    <mergeCell ref="I1:K1"/>
  </mergeCells>
  <conditionalFormatting sqref="K3:K9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9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inlineStr">
        <is>
          <t>1</t>
        </is>
      </c>
      <c r="F63" s="71" t="n">
        <v>2</v>
      </c>
      <c r="G63" s="71" t="n">
        <v>1</v>
      </c>
      <c r="H63" s="71" t="inlineStr">
        <is>
          <t>1</t>
        </is>
      </c>
      <c r="I63" s="71" t="n">
        <v>2</v>
      </c>
      <c r="J63" s="71" t="n">
        <v>1</v>
      </c>
      <c r="K63" s="71" t="inlineStr">
        <is>
          <t>1</t>
        </is>
      </c>
      <c r="L63" s="71" t="n">
        <v>2</v>
      </c>
      <c r="M63" s="71" t="n">
        <v>1</v>
      </c>
      <c r="N63" s="71" t="inlineStr">
        <is>
          <t>1</t>
        </is>
      </c>
      <c r="O63" s="71" t="n">
        <v>3</v>
      </c>
      <c r="P63" s="71" t="n">
        <v>2</v>
      </c>
      <c r="Q63" s="71" t="inlineStr">
        <is>
          <t>1</t>
        </is>
      </c>
      <c r="R63" s="71" t="n">
        <v>2</v>
      </c>
      <c r="S63" s="71" t="n">
        <v>1</v>
      </c>
    </row>
    <row r="64">
      <c r="A64" s="69">
        <f>Partite!$A64</f>
        <v/>
      </c>
      <c r="B64" s="25">
        <f>Partite!$B64</f>
        <v/>
      </c>
      <c r="C64" s="70">
        <f>IF(Partite!$E64="","",Partite!$E64)</f>
        <v/>
      </c>
      <c r="D64" s="70">
        <f>IF(Partite!$F64="","",Partite!$F64)</f>
        <v/>
      </c>
      <c r="E64" s="71" t="inlineStr">
        <is>
          <t>2</t>
        </is>
      </c>
      <c r="F64" s="71" t="n">
        <v>0</v>
      </c>
      <c r="G64" s="71" t="n">
        <v>2</v>
      </c>
      <c r="H64" s="71" t="inlineStr">
        <is>
          <t>2</t>
        </is>
      </c>
      <c r="I64" s="71" t="n">
        <v>1</v>
      </c>
      <c r="J64" s="71" t="n">
        <v>2</v>
      </c>
      <c r="K64" s="71" t="inlineStr">
        <is>
          <t>2</t>
        </is>
      </c>
      <c r="L64" s="71" t="n">
        <v>2</v>
      </c>
      <c r="M64" s="71" t="n">
        <v>3</v>
      </c>
      <c r="N64" s="71" t="inlineStr">
        <is>
          <t>X</t>
        </is>
      </c>
      <c r="O64" s="71" t="n">
        <v>1</v>
      </c>
      <c r="P64" s="71" t="n">
        <v>1</v>
      </c>
      <c r="Q64" s="71" t="inlineStr">
        <is>
          <t>2</t>
        </is>
      </c>
      <c r="R64" s="71" t="n">
        <v>1</v>
      </c>
      <c r="S64" s="71" t="n">
        <v>2</v>
      </c>
    </row>
    <row r="65">
      <c r="A65" s="69">
        <f>Partite!$A65</f>
        <v/>
      </c>
      <c r="B65" s="25">
        <f>Partite!$B65</f>
        <v/>
      </c>
      <c r="C65" s="70">
        <f>IF(Partite!$E65="","",Partite!$E65)</f>
        <v/>
      </c>
      <c r="D65" s="70">
        <f>IF(Partite!$F65="","",Partite!$F65)</f>
        <v/>
      </c>
      <c r="E65" s="71" t="inlineStr">
        <is>
          <t>1</t>
        </is>
      </c>
      <c r="F65" s="71" t="n">
        <v>3</v>
      </c>
      <c r="G65" s="71" t="n">
        <v>1</v>
      </c>
      <c r="H65" s="71" t="inlineStr">
        <is>
          <t>1</t>
        </is>
      </c>
      <c r="I65" s="71" t="n">
        <v>3</v>
      </c>
      <c r="J65" s="71" t="n">
        <v>1</v>
      </c>
      <c r="K65" s="71" t="inlineStr">
        <is>
          <t>X</t>
        </is>
      </c>
      <c r="L65" s="71" t="n">
        <v>1</v>
      </c>
      <c r="M65" s="71" t="n">
        <v>1</v>
      </c>
      <c r="N65" s="71" t="inlineStr">
        <is>
          <t>1</t>
        </is>
      </c>
      <c r="O65" s="71" t="n">
        <v>4</v>
      </c>
      <c r="P65" s="71" t="n">
        <v>1</v>
      </c>
      <c r="Q65" s="71" t="inlineStr">
        <is>
          <t>1</t>
        </is>
      </c>
      <c r="R65" s="71" t="n">
        <v>3</v>
      </c>
      <c r="S65" s="71" t="n">
        <v>1</v>
      </c>
    </row>
    <row r="66">
      <c r="A66" s="69">
        <f>Partite!$A66</f>
        <v/>
      </c>
      <c r="B66" s="25">
        <f>Partite!$B66</f>
        <v/>
      </c>
      <c r="C66" s="70">
        <f>IF(Partite!$E66="","",Partite!$E66)</f>
        <v/>
      </c>
      <c r="D66" s="70">
        <f>IF(Partite!$F66="","",Partite!$F66)</f>
        <v/>
      </c>
      <c r="E66" s="71" t="inlineStr">
        <is>
          <t>X</t>
        </is>
      </c>
      <c r="F66" s="71" t="n">
        <v>2</v>
      </c>
      <c r="G66" s="71" t="n">
        <v>2</v>
      </c>
      <c r="H66" s="71" t="inlineStr">
        <is>
          <t>2</t>
        </is>
      </c>
      <c r="I66" s="71" t="n">
        <v>0</v>
      </c>
      <c r="J66" s="71" t="n">
        <v>2</v>
      </c>
      <c r="K66" s="71" t="inlineStr">
        <is>
          <t>1</t>
        </is>
      </c>
      <c r="L66" s="71" t="n">
        <v>2</v>
      </c>
      <c r="M66" s="71" t="n">
        <v>1</v>
      </c>
      <c r="N66" s="71" t="inlineStr">
        <is>
          <t>2</t>
        </is>
      </c>
      <c r="O66" s="71" t="n">
        <v>1</v>
      </c>
      <c r="P66" s="71" t="n">
        <v>2</v>
      </c>
      <c r="Q66" s="71" t="inlineStr">
        <is>
          <t>X</t>
        </is>
      </c>
      <c r="R66" s="71" t="n">
        <v>1</v>
      </c>
      <c r="S66" s="71" t="n">
        <v>1</v>
      </c>
    </row>
    <row r="67">
      <c r="A67" s="69">
        <f>Partite!$A67</f>
        <v/>
      </c>
      <c r="B67" s="25">
        <f>Partite!$B67</f>
        <v/>
      </c>
      <c r="C67" s="70">
        <f>IF(Partite!$E67="","",Partite!$E67)</f>
        <v/>
      </c>
      <c r="D67" s="70">
        <f>IF(Partite!$F67="","",Partite!$F67)</f>
        <v/>
      </c>
      <c r="E67" s="71" t="inlineStr">
        <is>
          <t>1</t>
        </is>
      </c>
      <c r="F67" s="71" t="n">
        <v>2</v>
      </c>
      <c r="G67" s="71" t="n">
        <v>0</v>
      </c>
      <c r="H67" s="71" t="inlineStr">
        <is>
          <t>1</t>
        </is>
      </c>
      <c r="I67" s="71" t="n">
        <v>2</v>
      </c>
      <c r="J67" s="71" t="n">
        <v>0</v>
      </c>
      <c r="K67" s="71" t="inlineStr">
        <is>
          <t>1</t>
        </is>
      </c>
      <c r="L67" s="71" t="n">
        <v>2</v>
      </c>
      <c r="M67" s="71" t="n">
        <v>1</v>
      </c>
      <c r="N67" s="71" t="inlineStr">
        <is>
          <t>1</t>
        </is>
      </c>
      <c r="O67" s="71" t="n">
        <v>3</v>
      </c>
      <c r="P67" s="71" t="n">
        <v>0</v>
      </c>
      <c r="Q67" s="71" t="inlineStr">
        <is>
          <t>1</t>
        </is>
      </c>
      <c r="R67" s="71" t="n">
        <v>2</v>
      </c>
      <c r="S67" s="71" t="n">
        <v>0</v>
      </c>
    </row>
    <row r="68">
      <c r="A68" s="69">
        <f>Partite!$A68</f>
        <v/>
      </c>
      <c r="B68" s="25">
        <f>Partite!$B68</f>
        <v/>
      </c>
      <c r="C68" s="70">
        <f>IF(Partite!$E68="","",Partite!$E68)</f>
        <v/>
      </c>
      <c r="D68" s="70">
        <f>IF(Partite!$F68="","",Partite!$F68)</f>
        <v/>
      </c>
      <c r="E68" s="71" t="inlineStr">
        <is>
          <t>1</t>
        </is>
      </c>
      <c r="F68" s="71" t="n">
        <v>3</v>
      </c>
      <c r="G68" s="71" t="n">
        <v>1</v>
      </c>
      <c r="H68" s="71" t="inlineStr">
        <is>
          <t>1</t>
        </is>
      </c>
      <c r="I68" s="71" t="n">
        <v>3</v>
      </c>
      <c r="J68" s="71" t="n">
        <v>1</v>
      </c>
      <c r="K68" s="71" t="inlineStr">
        <is>
          <t>1</t>
        </is>
      </c>
      <c r="L68" s="71" t="n">
        <v>2</v>
      </c>
      <c r="M68" s="71" t="n">
        <v>0</v>
      </c>
      <c r="N68" s="71" t="inlineStr">
        <is>
          <t>1</t>
        </is>
      </c>
      <c r="O68" s="71" t="n">
        <v>2</v>
      </c>
      <c r="P68" s="71" t="n">
        <v>0</v>
      </c>
      <c r="Q68" s="71" t="inlineStr">
        <is>
          <t>1</t>
        </is>
      </c>
      <c r="R68" s="71" t="n">
        <v>2</v>
      </c>
      <c r="S68" s="71" t="n">
        <v>0</v>
      </c>
    </row>
    <row r="69">
      <c r="A69" s="69">
        <f>Partite!$A69</f>
        <v/>
      </c>
      <c r="B69" s="25">
        <f>Partite!$B69</f>
        <v/>
      </c>
      <c r="C69" s="70">
        <f>IF(Partite!$E69="","",Partite!$E69)</f>
        <v/>
      </c>
      <c r="D69" s="70">
        <f>IF(Partite!$F69="","",Partite!$F69)</f>
        <v/>
      </c>
      <c r="E69" s="71" t="inlineStr">
        <is>
          <t>1</t>
        </is>
      </c>
      <c r="F69" s="71" t="n">
        <v>3</v>
      </c>
      <c r="G69" s="71" t="n">
        <v>2</v>
      </c>
      <c r="H69" s="71" t="inlineStr">
        <is>
          <t>2</t>
        </is>
      </c>
      <c r="I69" s="71" t="n">
        <v>1</v>
      </c>
      <c r="J69" s="71" t="n">
        <v>2</v>
      </c>
      <c r="K69" s="71" t="inlineStr">
        <is>
          <t>1</t>
        </is>
      </c>
      <c r="L69" s="71" t="n">
        <v>2</v>
      </c>
      <c r="M69" s="71" t="n">
        <v>1</v>
      </c>
      <c r="N69" s="71" t="inlineStr">
        <is>
          <t>X</t>
        </is>
      </c>
      <c r="O69" s="71" t="n">
        <v>2</v>
      </c>
      <c r="P69" s="71" t="n">
        <v>2</v>
      </c>
      <c r="Q69" s="71" t="inlineStr">
        <is>
          <t>1</t>
        </is>
      </c>
      <c r="R69" s="71" t="n">
        <v>2</v>
      </c>
      <c r="S69" s="71" t="n">
        <v>1</v>
      </c>
    </row>
    <row r="70">
      <c r="A70" s="69">
        <f>Partite!$A70</f>
        <v/>
      </c>
      <c r="B70" s="25">
        <f>Partite!$B70</f>
        <v/>
      </c>
      <c r="C70" s="70">
        <f>IF(Partite!$E70="","",Partite!$E70)</f>
        <v/>
      </c>
      <c r="D70" s="70">
        <f>IF(Partite!$F70="","",Partite!$F70)</f>
        <v/>
      </c>
      <c r="E70" s="71" t="inlineStr">
        <is>
          <t>X</t>
        </is>
      </c>
      <c r="F70" s="71" t="n">
        <v>1</v>
      </c>
      <c r="G70" s="71" t="n">
        <v>1</v>
      </c>
      <c r="H70" s="71" t="inlineStr">
        <is>
          <t>X</t>
        </is>
      </c>
      <c r="I70" s="71" t="n">
        <v>1</v>
      </c>
      <c r="J70" s="71" t="n">
        <v>1</v>
      </c>
      <c r="K70" s="71" t="inlineStr">
        <is>
          <t>1</t>
        </is>
      </c>
      <c r="L70" s="71" t="n">
        <v>2</v>
      </c>
      <c r="M70" s="71" t="n">
        <v>0</v>
      </c>
      <c r="N70" s="71" t="inlineStr">
        <is>
          <t>X</t>
        </is>
      </c>
      <c r="O70" s="71" t="n">
        <v>1</v>
      </c>
      <c r="P70" s="71" t="n">
        <v>1</v>
      </c>
      <c r="Q70" s="71" t="inlineStr">
        <is>
          <t>X</t>
        </is>
      </c>
      <c r="R70" s="71" t="n">
        <v>1</v>
      </c>
      <c r="S70" s="71" t="n">
        <v>1</v>
      </c>
    </row>
    <row r="71">
      <c r="A71" s="69">
        <f>Partite!$A71</f>
        <v/>
      </c>
      <c r="B71" s="25">
        <f>Partite!$B71</f>
        <v/>
      </c>
      <c r="C71" s="70">
        <f>IF(Partite!$E71="","",Partite!$E71)</f>
        <v/>
      </c>
      <c r="D71" s="70">
        <f>IF(Partite!$F71="","",Partite!$F71)</f>
        <v/>
      </c>
      <c r="E71" s="71" t="inlineStr">
        <is>
          <t>2</t>
        </is>
      </c>
      <c r="F71" s="71" t="n">
        <v>0</v>
      </c>
      <c r="G71" s="71" t="n">
        <v>2</v>
      </c>
      <c r="H71" s="71" t="inlineStr">
        <is>
          <t>2</t>
        </is>
      </c>
      <c r="I71" s="71" t="n">
        <v>0</v>
      </c>
      <c r="J71" s="71" t="n">
        <v>3</v>
      </c>
      <c r="K71" s="71" t="inlineStr">
        <is>
          <t>2</t>
        </is>
      </c>
      <c r="L71" s="71" t="n">
        <v>0</v>
      </c>
      <c r="M71" s="71" t="n">
        <v>2</v>
      </c>
      <c r="N71" s="71" t="inlineStr">
        <is>
          <t>2</t>
        </is>
      </c>
      <c r="O71" s="71" t="n">
        <v>0</v>
      </c>
      <c r="P71" s="71" t="n">
        <v>2</v>
      </c>
      <c r="Q71" s="71" t="inlineStr">
        <is>
          <t>2</t>
        </is>
      </c>
      <c r="R71" s="71" t="n">
        <v>0</v>
      </c>
      <c r="S71" s="71" t="n">
        <v>2</v>
      </c>
    </row>
    <row r="72">
      <c r="A72" s="69">
        <f>Partite!$A72</f>
        <v/>
      </c>
      <c r="B72" s="25">
        <f>Partite!$B72</f>
        <v/>
      </c>
      <c r="C72" s="70">
        <f>IF(Partite!$E72="","",Partite!$E72)</f>
        <v/>
      </c>
      <c r="D72" s="70">
        <f>IF(Partite!$F72="","",Partite!$F72)</f>
        <v/>
      </c>
      <c r="E72" s="71" t="inlineStr">
        <is>
          <t>X</t>
        </is>
      </c>
      <c r="F72" s="71" t="n">
        <v>1</v>
      </c>
      <c r="G72" s="71" t="n">
        <v>1</v>
      </c>
      <c r="H72" s="71" t="inlineStr">
        <is>
          <t>X</t>
        </is>
      </c>
      <c r="I72" s="71" t="n">
        <v>2</v>
      </c>
      <c r="J72" s="71" t="n">
        <v>2</v>
      </c>
      <c r="K72" s="71" t="inlineStr">
        <is>
          <t>2</t>
        </is>
      </c>
      <c r="L72" s="71" t="n">
        <v>1</v>
      </c>
      <c r="M72" s="71" t="n">
        <v>2</v>
      </c>
      <c r="N72" s="71" t="inlineStr">
        <is>
          <t>2</t>
        </is>
      </c>
      <c r="O72" s="71" t="n">
        <v>1</v>
      </c>
      <c r="P72" s="71" t="n">
        <v>3</v>
      </c>
      <c r="Q72" s="71" t="inlineStr">
        <is>
          <t>X</t>
        </is>
      </c>
      <c r="R72" s="71" t="n">
        <v>2</v>
      </c>
      <c r="S72" s="71" t="n">
        <v>2</v>
      </c>
    </row>
    <row r="73">
      <c r="A73" s="74">
        <f>Partite!$A73</f>
        <v/>
      </c>
      <c r="B73" s="30">
        <f>Partite!$B73</f>
        <v/>
      </c>
      <c r="C73" s="75">
        <f>IF(Partite!$E73="","",Partite!$E73)</f>
        <v/>
      </c>
      <c r="D73" s="75">
        <f>IF(Partite!$F73="","",Partite!$F73)</f>
        <v/>
      </c>
      <c r="E73" s="71" t="inlineStr">
        <is>
          <t>2</t>
        </is>
      </c>
      <c r="F73" s="71" t="n">
        <v>1</v>
      </c>
      <c r="G73" s="71" t="n">
        <v>2</v>
      </c>
      <c r="H73" s="71" t="inlineStr">
        <is>
          <t>2</t>
        </is>
      </c>
      <c r="I73" s="71" t="n">
        <v>1</v>
      </c>
      <c r="J73" s="71" t="n">
        <v>2</v>
      </c>
      <c r="K73" s="71" t="inlineStr">
        <is>
          <t>X</t>
        </is>
      </c>
      <c r="L73" s="71" t="n">
        <v>1</v>
      </c>
      <c r="M73" s="71" t="n">
        <v>1</v>
      </c>
      <c r="N73" s="71" t="inlineStr">
        <is>
          <t>2</t>
        </is>
      </c>
      <c r="O73" s="71" t="n">
        <v>0</v>
      </c>
      <c r="P73" s="71" t="n">
        <v>2</v>
      </c>
      <c r="Q73" s="71" t="inlineStr">
        <is>
          <t>2</t>
        </is>
      </c>
      <c r="R73" s="71" t="n">
        <v>1</v>
      </c>
      <c r="S73" s="71" t="n">
        <v>3</v>
      </c>
    </row>
    <row r="74">
      <c r="A74" s="74">
        <f>Partite!$A74</f>
        <v/>
      </c>
      <c r="B74" s="30">
        <f>Partite!$B74</f>
        <v/>
      </c>
      <c r="C74" s="75">
        <f>IF(Partite!$E74="","",Partite!$E74)</f>
        <v/>
      </c>
      <c r="D74" s="75">
        <f>IF(Partite!$F74="","",Partite!$F74)</f>
        <v/>
      </c>
      <c r="E74" s="71" t="inlineStr">
        <is>
          <t>1</t>
        </is>
      </c>
      <c r="F74" s="71" t="n">
        <v>3</v>
      </c>
      <c r="G74" s="71" t="n">
        <v>0</v>
      </c>
      <c r="H74" s="71" t="inlineStr">
        <is>
          <t>1</t>
        </is>
      </c>
      <c r="I74" s="71" t="n">
        <v>3</v>
      </c>
      <c r="J74" s="71" t="n">
        <v>1</v>
      </c>
      <c r="K74" s="71" t="inlineStr">
        <is>
          <t>1</t>
        </is>
      </c>
      <c r="L74" s="71" t="n">
        <v>3</v>
      </c>
      <c r="M74" s="71" t="n">
        <v>1</v>
      </c>
      <c r="N74" s="71" t="inlineStr">
        <is>
          <t>1</t>
        </is>
      </c>
      <c r="O74" s="71" t="n">
        <v>3</v>
      </c>
      <c r="P74" s="71" t="n">
        <v>1</v>
      </c>
      <c r="Q74" s="71" t="inlineStr">
        <is>
          <t>1</t>
        </is>
      </c>
      <c r="R74" s="71" t="n">
        <v>2</v>
      </c>
      <c r="S74" s="71" t="n">
        <v>0</v>
      </c>
    </row>
    <row r="75">
      <c r="A75" s="74">
        <f>Partite!$A75</f>
        <v/>
      </c>
      <c r="B75" s="30">
        <f>Partite!$B75</f>
        <v/>
      </c>
      <c r="C75" s="75">
        <f>IF(Partite!$E75="","",Partite!$E75)</f>
        <v/>
      </c>
      <c r="D75" s="75">
        <f>IF(Partite!$F75="","",Partite!$F75)</f>
        <v/>
      </c>
      <c r="E75" s="71" t="inlineStr">
        <is>
          <t>2</t>
        </is>
      </c>
      <c r="F75" s="71" t="n">
        <v>1</v>
      </c>
      <c r="G75" s="71" t="n">
        <v>3</v>
      </c>
      <c r="H75" s="71" t="inlineStr">
        <is>
          <t>X</t>
        </is>
      </c>
      <c r="I75" s="71" t="n">
        <v>2</v>
      </c>
      <c r="J75" s="71" t="n">
        <v>2</v>
      </c>
      <c r="K75" s="71" t="inlineStr">
        <is>
          <t>1</t>
        </is>
      </c>
      <c r="L75" s="71" t="n">
        <v>2</v>
      </c>
      <c r="M75" s="71" t="n">
        <v>1</v>
      </c>
      <c r="N75" s="71" t="inlineStr">
        <is>
          <t>2</t>
        </is>
      </c>
      <c r="O75" s="71" t="n">
        <v>1</v>
      </c>
      <c r="P75" s="71" t="n">
        <v>3</v>
      </c>
      <c r="Q75" s="71" t="inlineStr">
        <is>
          <t>X</t>
        </is>
      </c>
      <c r="R75" s="71" t="n">
        <v>1</v>
      </c>
      <c r="S75" s="71" t="n">
        <v>1</v>
      </c>
    </row>
    <row r="76">
      <c r="A76" s="74">
        <f>Partite!$A76</f>
        <v/>
      </c>
      <c r="B76" s="30">
        <f>Partite!$B76</f>
        <v/>
      </c>
      <c r="C76" s="75">
        <f>IF(Partite!$E76="","",Partite!$E76)</f>
        <v/>
      </c>
      <c r="D76" s="75">
        <f>IF(Partite!$F76="","",Partite!$F76)</f>
        <v/>
      </c>
      <c r="E76" s="71" t="inlineStr">
        <is>
          <t>1</t>
        </is>
      </c>
      <c r="F76" s="71" t="n">
        <v>2</v>
      </c>
      <c r="G76" s="71" t="n">
        <v>1</v>
      </c>
      <c r="H76" s="71" t="inlineStr">
        <is>
          <t>X</t>
        </is>
      </c>
      <c r="I76" s="71" t="n">
        <v>2</v>
      </c>
      <c r="J76" s="71" t="n">
        <v>2</v>
      </c>
      <c r="K76" s="71" t="inlineStr">
        <is>
          <t>1</t>
        </is>
      </c>
      <c r="L76" s="71" t="n">
        <v>1</v>
      </c>
      <c r="M76" s="71" t="n">
        <v>0</v>
      </c>
      <c r="N76" s="71" t="inlineStr">
        <is>
          <t>1</t>
        </is>
      </c>
      <c r="O76" s="71" t="n">
        <v>2</v>
      </c>
      <c r="P76" s="71" t="n">
        <v>1</v>
      </c>
      <c r="Q76" s="71" t="inlineStr">
        <is>
          <t>X</t>
        </is>
      </c>
      <c r="R76" s="71" t="n">
        <v>2</v>
      </c>
      <c r="S76" s="71" t="n">
        <v>2</v>
      </c>
    </row>
    <row r="77">
      <c r="A77" s="74">
        <f>Partite!$A77</f>
        <v/>
      </c>
      <c r="B77" s="30">
        <f>Partite!$B77</f>
        <v/>
      </c>
      <c r="C77" s="75">
        <f>IF(Partite!$E77="","",Partite!$E77)</f>
        <v/>
      </c>
      <c r="D77" s="75">
        <f>IF(Partite!$F77="","",Partite!$F77)</f>
        <v/>
      </c>
      <c r="E77" s="71" t="inlineStr">
        <is>
          <t>2</t>
        </is>
      </c>
      <c r="F77" s="71" t="n">
        <v>1</v>
      </c>
      <c r="G77" s="71" t="n">
        <v>2</v>
      </c>
      <c r="H77" s="71" t="inlineStr">
        <is>
          <t>2</t>
        </is>
      </c>
      <c r="I77" s="71" t="n">
        <v>1</v>
      </c>
      <c r="J77" s="71" t="n">
        <v>2</v>
      </c>
      <c r="K77" s="71" t="inlineStr">
        <is>
          <t>X</t>
        </is>
      </c>
      <c r="L77" s="71" t="n">
        <v>1</v>
      </c>
      <c r="M77" s="71" t="n">
        <v>1</v>
      </c>
      <c r="N77" s="71" t="inlineStr">
        <is>
          <t>1</t>
        </is>
      </c>
      <c r="O77" s="71" t="n">
        <v>1</v>
      </c>
      <c r="P77" s="71" t="n">
        <v>0</v>
      </c>
      <c r="Q77" s="71" t="inlineStr">
        <is>
          <t>2</t>
        </is>
      </c>
      <c r="R77" s="71" t="n">
        <v>1</v>
      </c>
      <c r="S77" s="71" t="n">
        <v>2</v>
      </c>
    </row>
    <row r="78">
      <c r="A78" s="74">
        <f>Partite!$A78</f>
        <v/>
      </c>
      <c r="B78" s="30">
        <f>Partite!$B78</f>
        <v/>
      </c>
      <c r="C78" s="75">
        <f>IF(Partite!$E78="","",Partite!$E78)</f>
        <v/>
      </c>
      <c r="D78" s="75">
        <f>IF(Partite!$F78="","",Partite!$F78)</f>
        <v/>
      </c>
      <c r="E78" s="71" t="inlineStr">
        <is>
          <t>2</t>
        </is>
      </c>
      <c r="F78" s="71" t="n">
        <v>0</v>
      </c>
      <c r="G78" s="71" t="n">
        <v>3</v>
      </c>
      <c r="H78" s="71" t="inlineStr">
        <is>
          <t>2</t>
        </is>
      </c>
      <c r="I78" s="71" t="n">
        <v>0</v>
      </c>
      <c r="J78" s="71" t="n">
        <v>3</v>
      </c>
      <c r="K78" s="71" t="inlineStr">
        <is>
          <t>2</t>
        </is>
      </c>
      <c r="L78" s="71" t="n">
        <v>1</v>
      </c>
      <c r="M78" s="71" t="n">
        <v>4</v>
      </c>
      <c r="N78" s="71" t="inlineStr">
        <is>
          <t>2</t>
        </is>
      </c>
      <c r="O78" s="71" t="n">
        <v>0</v>
      </c>
      <c r="P78" s="71" t="n">
        <v>4</v>
      </c>
      <c r="Q78" s="71" t="inlineStr">
        <is>
          <t>2</t>
        </is>
      </c>
      <c r="R78" s="71" t="n">
        <v>0</v>
      </c>
      <c r="S78" s="71" t="n">
        <v>3</v>
      </c>
    </row>
    <row r="79">
      <c r="A79" s="74">
        <f>Partite!$A79</f>
        <v/>
      </c>
      <c r="B79" s="30">
        <f>Partite!$B79</f>
        <v/>
      </c>
      <c r="C79" s="75">
        <f>IF(Partite!$E79="","",Partite!$E79)</f>
        <v/>
      </c>
      <c r="D79" s="75">
        <f>IF(Partite!$F79="","",Partite!$F79)</f>
        <v/>
      </c>
      <c r="E79" s="71" t="inlineStr">
        <is>
          <t>2</t>
        </is>
      </c>
      <c r="F79" s="71" t="n">
        <v>0</v>
      </c>
      <c r="G79" s="71" t="n">
        <v>2</v>
      </c>
      <c r="H79" s="71" t="inlineStr">
        <is>
          <t>2</t>
        </is>
      </c>
      <c r="I79" s="71" t="n">
        <v>1</v>
      </c>
      <c r="J79" s="71" t="n">
        <v>2</v>
      </c>
      <c r="K79" s="71" t="inlineStr">
        <is>
          <t>2</t>
        </is>
      </c>
      <c r="L79" s="71" t="n">
        <v>0</v>
      </c>
      <c r="M79" s="71" t="n">
        <v>2</v>
      </c>
      <c r="N79" s="71" t="inlineStr">
        <is>
          <t>2</t>
        </is>
      </c>
      <c r="O79" s="71" t="n">
        <v>0</v>
      </c>
      <c r="P79" s="71" t="n">
        <v>1</v>
      </c>
      <c r="Q79" s="71" t="inlineStr">
        <is>
          <t>2</t>
        </is>
      </c>
      <c r="R79" s="71" t="n">
        <v>0</v>
      </c>
      <c r="S79" s="71" t="n">
        <v>1</v>
      </c>
    </row>
    <row r="80">
      <c r="A80" s="74">
        <f>Partite!$A80</f>
        <v/>
      </c>
      <c r="B80" s="30">
        <f>Partite!$B80</f>
        <v/>
      </c>
      <c r="C80" s="75">
        <f>IF(Partite!$E80="","",Partite!$E80)</f>
        <v/>
      </c>
      <c r="D80" s="75">
        <f>IF(Partite!$F80="","",Partite!$F80)</f>
        <v/>
      </c>
      <c r="E80" s="71" t="inlineStr">
        <is>
          <t>2</t>
        </is>
      </c>
      <c r="F80" s="71" t="n">
        <v>0</v>
      </c>
      <c r="G80" s="71" t="n">
        <v>3</v>
      </c>
      <c r="H80" s="71" t="inlineStr">
        <is>
          <t>2</t>
        </is>
      </c>
      <c r="I80" s="71" t="n">
        <v>1</v>
      </c>
      <c r="J80" s="71" t="n">
        <v>2</v>
      </c>
      <c r="K80" s="71" t="inlineStr">
        <is>
          <t>2</t>
        </is>
      </c>
      <c r="L80" s="71" t="n">
        <v>0</v>
      </c>
      <c r="M80" s="71" t="n">
        <v>1</v>
      </c>
      <c r="N80" s="71" t="inlineStr">
        <is>
          <t>2</t>
        </is>
      </c>
      <c r="O80" s="71" t="n">
        <v>2</v>
      </c>
      <c r="P80" s="71" t="n">
        <v>3</v>
      </c>
      <c r="Q80" s="71" t="inlineStr">
        <is>
          <t>2</t>
        </is>
      </c>
      <c r="R80" s="71" t="n">
        <v>1</v>
      </c>
      <c r="S80" s="71" t="n">
        <v>3</v>
      </c>
    </row>
    <row r="81">
      <c r="A81" s="74">
        <f>Partite!$A81</f>
        <v/>
      </c>
      <c r="B81" s="30">
        <f>Partite!$B81</f>
        <v/>
      </c>
      <c r="C81" s="75">
        <f>IF(Partite!$E81="","",Partite!$E81)</f>
        <v/>
      </c>
      <c r="D81" s="75">
        <f>IF(Partite!$F81="","",Partite!$F81)</f>
        <v/>
      </c>
      <c r="E81" s="71" t="inlineStr">
        <is>
          <t>1</t>
        </is>
      </c>
      <c r="F81" s="71" t="n">
        <v>3</v>
      </c>
      <c r="G81" s="71" t="n">
        <v>2</v>
      </c>
      <c r="H81" s="71" t="inlineStr">
        <is>
          <t>1</t>
        </is>
      </c>
      <c r="I81" s="71" t="n">
        <v>3</v>
      </c>
      <c r="J81" s="71" t="n">
        <v>1</v>
      </c>
      <c r="K81" s="71" t="inlineStr">
        <is>
          <t>1</t>
        </is>
      </c>
      <c r="L81" s="71" t="n">
        <v>2</v>
      </c>
      <c r="M81" s="71" t="n">
        <v>0</v>
      </c>
      <c r="N81" s="71" t="inlineStr">
        <is>
          <t>1</t>
        </is>
      </c>
      <c r="O81" s="71" t="n">
        <v>4</v>
      </c>
      <c r="P81" s="71" t="n">
        <v>1</v>
      </c>
      <c r="Q81" s="71" t="inlineStr">
        <is>
          <t>1</t>
        </is>
      </c>
      <c r="R81" s="71" t="n">
        <v>2</v>
      </c>
      <c r="S81" s="71" t="n">
        <v>0</v>
      </c>
    </row>
    <row r="82">
      <c r="A82" s="74">
        <f>Partite!$A82</f>
        <v/>
      </c>
      <c r="B82" s="30">
        <f>Partite!$B82</f>
        <v/>
      </c>
      <c r="C82" s="75">
        <f>IF(Partite!$E82="","",Partite!$E82)</f>
        <v/>
      </c>
      <c r="D82" s="75">
        <f>IF(Partite!$F82="","",Partite!$F82)</f>
        <v/>
      </c>
      <c r="E82" s="71" t="inlineStr">
        <is>
          <t>X</t>
        </is>
      </c>
      <c r="F82" s="71" t="n">
        <v>2</v>
      </c>
      <c r="G82" s="71" t="n">
        <v>2</v>
      </c>
      <c r="H82" s="71" t="inlineStr">
        <is>
          <t>X</t>
        </is>
      </c>
      <c r="I82" s="71" t="n">
        <v>2</v>
      </c>
      <c r="J82" s="71" t="n">
        <v>2</v>
      </c>
      <c r="K82" s="71" t="inlineStr">
        <is>
          <t>X</t>
        </is>
      </c>
      <c r="L82" s="71" t="n">
        <v>2</v>
      </c>
      <c r="M82" s="71" t="n">
        <v>2</v>
      </c>
      <c r="N82" s="71" t="inlineStr">
        <is>
          <t>1</t>
        </is>
      </c>
      <c r="O82" s="71" t="n">
        <v>2</v>
      </c>
      <c r="P82" s="71" t="n">
        <v>1</v>
      </c>
      <c r="Q82" s="71" t="inlineStr">
        <is>
          <t>1</t>
        </is>
      </c>
      <c r="R82" s="71" t="n">
        <v>2</v>
      </c>
      <c r="S82" s="71" t="n">
        <v>1</v>
      </c>
    </row>
    <row r="83">
      <c r="A83" s="69">
        <f>Partite!$A83</f>
        <v/>
      </c>
      <c r="B83" s="25">
        <f>Partite!$B83</f>
        <v/>
      </c>
      <c r="C83" s="70">
        <f>IF(Partite!$E83="","",Partite!$E83)</f>
        <v/>
      </c>
      <c r="D83" s="70">
        <f>IF(Partite!$F83="","",Partite!$F83)</f>
        <v/>
      </c>
      <c r="E83" s="71" t="n"/>
      <c r="F83" s="71" t="n"/>
      <c r="G83" s="71" t="n"/>
      <c r="H83" s="71" t="n"/>
      <c r="I83" s="71" t="n"/>
      <c r="J83" s="71" t="n"/>
      <c r="K83" s="71" t="n"/>
      <c r="L83" s="71" t="n"/>
      <c r="M83" s="71" t="n"/>
      <c r="N83" s="71" t="n"/>
      <c r="O83" s="71" t="n"/>
      <c r="P83" s="71" t="n"/>
      <c r="Q83" s="71" t="n"/>
      <c r="R83" s="71" t="n"/>
      <c r="S83" s="71" t="n"/>
    </row>
    <row r="84">
      <c r="A84" s="69">
        <f>Partite!$A84</f>
        <v/>
      </c>
      <c r="B84" s="25">
        <f>Partite!$B84</f>
        <v/>
      </c>
      <c r="C84" s="70">
        <f>IF(Partite!$E84="","",Partite!$E84)</f>
        <v/>
      </c>
      <c r="D84" s="70">
        <f>IF(Partite!$F84="","",Partite!$F84)</f>
        <v/>
      </c>
      <c r="E84" s="71" t="n"/>
      <c r="F84" s="71" t="n"/>
      <c r="G84" s="71" t="n"/>
      <c r="H84" s="71" t="n"/>
      <c r="I84" s="71" t="n"/>
      <c r="J84" s="71" t="n"/>
      <c r="K84" s="71" t="n"/>
      <c r="L84" s="71" t="n"/>
      <c r="M84" s="71" t="n"/>
      <c r="N84" s="71" t="n"/>
      <c r="O84" s="71" t="n"/>
      <c r="P84" s="71" t="n"/>
      <c r="Q84" s="71" t="n"/>
      <c r="R84" s="71" t="n"/>
      <c r="S84" s="71" t="n"/>
    </row>
    <row r="85">
      <c r="A85" s="69">
        <f>Partite!$A85</f>
        <v/>
      </c>
      <c r="B85" s="25">
        <f>Partite!$B85</f>
        <v/>
      </c>
      <c r="C85" s="70">
        <f>IF(Partite!$E85="","",Partite!$E85)</f>
        <v/>
      </c>
      <c r="D85" s="70">
        <f>IF(Partite!$F85="","",Partite!$F85)</f>
        <v/>
      </c>
      <c r="E85" s="71" t="n"/>
      <c r="F85" s="71" t="n"/>
      <c r="G85" s="71" t="n"/>
      <c r="H85" s="71" t="n"/>
      <c r="I85" s="71" t="n"/>
      <c r="J85" s="71" t="n"/>
      <c r="K85" s="71" t="n"/>
      <c r="L85" s="71" t="n"/>
      <c r="M85" s="71" t="n"/>
      <c r="N85" s="71" t="n"/>
      <c r="O85" s="71" t="n"/>
      <c r="P85" s="71" t="n"/>
      <c r="Q85" s="71" t="n"/>
      <c r="R85" s="71" t="n"/>
      <c r="S85" s="71" t="n"/>
    </row>
    <row r="86">
      <c r="A86" s="69">
        <f>Partite!$A86</f>
        <v/>
      </c>
      <c r="B86" s="25">
        <f>Partite!$B86</f>
        <v/>
      </c>
      <c r="C86" s="70">
        <f>IF(Partite!$E86="","",Partite!$E86)</f>
        <v/>
      </c>
      <c r="D86" s="70">
        <f>IF(Partite!$F86="","",Partite!$F86)</f>
        <v/>
      </c>
      <c r="E86" s="71" t="n"/>
      <c r="F86" s="71" t="n"/>
      <c r="G86" s="71" t="n"/>
      <c r="H86" s="71" t="n"/>
      <c r="I86" s="71" t="n"/>
      <c r="J86" s="71" t="n"/>
      <c r="K86" s="71" t="n"/>
      <c r="L86" s="71" t="n"/>
      <c r="M86" s="71" t="n"/>
      <c r="N86" s="71" t="n"/>
      <c r="O86" s="71" t="n"/>
      <c r="P86" s="71" t="n"/>
      <c r="Q86" s="71" t="n"/>
      <c r="R86" s="71" t="n"/>
      <c r="S86" s="71" t="n"/>
    </row>
    <row r="87">
      <c r="A87" s="69">
        <f>Partite!$A87</f>
        <v/>
      </c>
      <c r="B87" s="25">
        <f>Partite!$B87</f>
        <v/>
      </c>
      <c r="C87" s="70">
        <f>IF(Partite!$E87="","",Partite!$E87)</f>
        <v/>
      </c>
      <c r="D87" s="70">
        <f>IF(Partite!$F87="","",Partite!$F87)</f>
        <v/>
      </c>
      <c r="E87" s="71" t="n"/>
      <c r="F87" s="71" t="n"/>
      <c r="G87" s="71" t="n"/>
      <c r="H87" s="71" t="n"/>
      <c r="I87" s="71" t="n"/>
      <c r="J87" s="71" t="n"/>
      <c r="K87" s="71" t="n"/>
      <c r="L87" s="71" t="n"/>
      <c r="M87" s="71" t="n"/>
      <c r="N87" s="71" t="n"/>
      <c r="O87" s="71" t="n"/>
      <c r="P87" s="71" t="n"/>
      <c r="Q87" s="71" t="n"/>
      <c r="R87" s="71" t="n"/>
      <c r="S87" s="71" t="n"/>
    </row>
    <row r="88">
      <c r="A88" s="69">
        <f>Partite!$A88</f>
        <v/>
      </c>
      <c r="B88" s="25">
        <f>Partite!$B88</f>
        <v/>
      </c>
      <c r="C88" s="70">
        <f>IF(Partite!$E88="","",Partite!$E88)</f>
        <v/>
      </c>
      <c r="D88" s="70">
        <f>IF(Partite!$F88="","",Partite!$F88)</f>
        <v/>
      </c>
      <c r="E88" s="71" t="n"/>
      <c r="F88" s="71" t="n"/>
      <c r="G88" s="71" t="n"/>
      <c r="H88" s="71" t="n"/>
      <c r="I88" s="71" t="n"/>
      <c r="J88" s="71" t="n"/>
      <c r="K88" s="71" t="n"/>
      <c r="L88" s="71" t="n"/>
      <c r="M88" s="71" t="n"/>
      <c r="N88" s="71" t="n"/>
      <c r="O88" s="71" t="n"/>
      <c r="P88" s="71" t="n"/>
      <c r="Q88" s="71" t="n"/>
      <c r="R88" s="71" t="n"/>
      <c r="S88" s="71" t="n"/>
    </row>
    <row r="89">
      <c r="A89" s="69">
        <f>Partite!$A89</f>
        <v/>
      </c>
      <c r="B89" s="25">
        <f>Partite!$B89</f>
        <v/>
      </c>
      <c r="C89" s="70">
        <f>IF(Partite!$E89="","",Partite!$E89)</f>
        <v/>
      </c>
      <c r="D89" s="70">
        <f>IF(Partite!$F89="","",Partite!$F89)</f>
        <v/>
      </c>
      <c r="E89" s="71" t="n"/>
      <c r="F89" s="71" t="n"/>
      <c r="G89" s="71" t="n"/>
      <c r="H89" s="71" t="n"/>
      <c r="I89" s="71" t="n"/>
      <c r="J89" s="71" t="n"/>
      <c r="K89" s="71" t="n"/>
      <c r="L89" s="71" t="n"/>
      <c r="M89" s="71" t="n"/>
      <c r="N89" s="71" t="n"/>
      <c r="O89" s="71" t="n"/>
      <c r="P89" s="71" t="n"/>
      <c r="Q89" s="71" t="n"/>
      <c r="R89" s="71" t="n"/>
      <c r="S89" s="71" t="n"/>
    </row>
    <row r="90">
      <c r="A90" s="69">
        <f>Partite!$A90</f>
        <v/>
      </c>
      <c r="B90" s="25">
        <f>Partite!$B90</f>
        <v/>
      </c>
      <c r="C90" s="70">
        <f>IF(Partite!$E90="","",Partite!$E90)</f>
        <v/>
      </c>
      <c r="D90" s="70">
        <f>IF(Partite!$F90="","",Partite!$F90)</f>
        <v/>
      </c>
      <c r="E90" s="71" t="n"/>
      <c r="F90" s="71" t="n"/>
      <c r="G90" s="71" t="n"/>
      <c r="H90" s="71" t="n"/>
      <c r="I90" s="71" t="n"/>
      <c r="J90" s="71" t="n"/>
      <c r="K90" s="71" t="n"/>
      <c r="L90" s="71" t="n"/>
      <c r="M90" s="71" t="n"/>
      <c r="N90" s="71" t="n"/>
      <c r="O90" s="71" t="n"/>
      <c r="P90" s="71" t="n"/>
      <c r="Q90" s="71" t="n"/>
      <c r="R90" s="71" t="n"/>
      <c r="S90" s="71" t="n"/>
    </row>
    <row r="91">
      <c r="A91" s="69">
        <f>Partite!$A91</f>
        <v/>
      </c>
      <c r="B91" s="25">
        <f>Partite!$B91</f>
        <v/>
      </c>
      <c r="C91" s="70">
        <f>IF(Partite!$E91="","",Partite!$E91)</f>
        <v/>
      </c>
      <c r="D91" s="70">
        <f>IF(Partite!$F91="","",Partite!$F91)</f>
        <v/>
      </c>
      <c r="E91" s="71" t="n"/>
      <c r="F91" s="71" t="n"/>
      <c r="G91" s="71" t="n"/>
      <c r="H91" s="71" t="n"/>
      <c r="I91" s="71" t="n"/>
      <c r="J91" s="71" t="n"/>
      <c r="K91" s="71" t="n"/>
      <c r="L91" s="71" t="n"/>
      <c r="M91" s="71" t="n"/>
      <c r="N91" s="71" t="n"/>
      <c r="O91" s="71" t="n"/>
      <c r="P91" s="71" t="n"/>
      <c r="Q91" s="71" t="n"/>
      <c r="R91" s="71" t="n"/>
      <c r="S91" s="71" t="n"/>
    </row>
    <row r="92">
      <c r="A92" s="69">
        <f>Partite!$A92</f>
        <v/>
      </c>
      <c r="B92" s="25">
        <f>Partite!$B92</f>
        <v/>
      </c>
      <c r="C92" s="70">
        <f>IF(Partite!$E92="","",Partite!$E92)</f>
        <v/>
      </c>
      <c r="D92" s="70">
        <f>IF(Partite!$F92="","",Partite!$F92)</f>
        <v/>
      </c>
      <c r="E92" s="71" t="n"/>
      <c r="F92" s="71" t="n"/>
      <c r="G92" s="71" t="n"/>
      <c r="H92" s="71" t="n"/>
      <c r="I92" s="71" t="n"/>
      <c r="J92" s="71" t="n"/>
      <c r="K92" s="71" t="n"/>
      <c r="L92" s="71" t="n"/>
      <c r="M92" s="71" t="n"/>
      <c r="N92" s="71" t="n"/>
      <c r="O92" s="71" t="n"/>
      <c r="P92" s="71" t="n"/>
      <c r="Q92" s="71" t="n"/>
      <c r="R92" s="71" t="n"/>
      <c r="S92" s="71" t="n"/>
    </row>
  </sheetData>
  <autoFilter ref="A2:D9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9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row r="83">
      <c r="A83" s="69">
        <f>Partite!$A83</f>
        <v/>
      </c>
      <c r="B83" s="25">
        <f>Partite!$B83</f>
        <v/>
      </c>
      <c r="C83" s="43">
        <f>IF(Partite!$E83="","",Partite!$E83&amp;"  -  "&amp;Partite!$F83)</f>
        <v/>
      </c>
      <c r="D83" s="22">
        <f>IF(Partite!$K83&lt;&gt;"Giocata","",IF(AND(Pronostici!$F83&lt;&gt;"",Pronostici!$G83&lt;&gt;"",Pronostici!$F83=Partite!$G83,Pronostici!$G83=Partite!$H83),Config!$D$6,IF(AND($J83&lt;&gt;"",$J83=Partite!$I83),Config!$D$7,Config!$D$8)))</f>
        <v/>
      </c>
      <c r="E83" s="22">
        <f>IF(Partite!$K83&lt;&gt;"Giocata","",IF(AND(Pronostici!$I83&lt;&gt;"",Pronostici!$J83&lt;&gt;"",Pronostici!$I83=Partite!$G83,Pronostici!$J83=Partite!$H83),Config!$D$6,IF(AND($K83&lt;&gt;"",$K83=Partite!$I83),Config!$D$7,Config!$D$8)))</f>
        <v/>
      </c>
      <c r="F83" s="22">
        <f>IF(Partite!$K83&lt;&gt;"Giocata","",IF(AND(Pronostici!$L83&lt;&gt;"",Pronostici!$M83&lt;&gt;"",Pronostici!$L83=Partite!$G83,Pronostici!$M83=Partite!$H83),Config!$D$6,IF(AND($L83&lt;&gt;"",$L83=Partite!$I83),Config!$D$7,Config!$D$8)))</f>
        <v/>
      </c>
      <c r="G83" s="22">
        <f>IF(Partite!$K83&lt;&gt;"Giocata","",IF(AND(Pronostici!$O83&lt;&gt;"",Pronostici!$P83&lt;&gt;"",Pronostici!$O83=Partite!$G83,Pronostici!$P83=Partite!$H83),Config!$D$6,IF(AND($M83&lt;&gt;"",$M83=Partite!$I83),Config!$D$7,Config!$D$8)))</f>
        <v/>
      </c>
      <c r="H83" s="22">
        <f>IF(Partite!$K83&lt;&gt;"Giocata","",IF(AND(Pronostici!$R83&lt;&gt;"",Pronostici!$S83&lt;&gt;"",Pronostici!$R83=Partite!$G83,Pronostici!$S83=Partite!$H83),Config!$D$6,IF(AND($N83&lt;&gt;"",$N83=Partite!$I83),Config!$D$7,Config!$D$8)))</f>
        <v/>
      </c>
      <c r="J83" s="63">
        <f>IF(Pronostici!$E83&lt;&gt;"",UPPER(Pronostici!$E83),IF(OR(Pronostici!$F83="",Pronostici!$G83=""),"",IF(Pronostici!$F83&gt;Pronostici!$G83,"1",IF(Pronostici!$F83=Pronostici!$G83,"X","2"))))</f>
        <v/>
      </c>
      <c r="K83" s="63">
        <f>IF(Pronostici!$H83&lt;&gt;"",UPPER(Pronostici!$H83),IF(OR(Pronostici!$I83="",Pronostici!$J83=""),"",IF(Pronostici!$I83&gt;Pronostici!$J83,"1",IF(Pronostici!$I83=Pronostici!$J83,"X","2"))))</f>
        <v/>
      </c>
      <c r="L83" s="63">
        <f>IF(Pronostici!$K83&lt;&gt;"",UPPER(Pronostici!$K83),IF(OR(Pronostici!$L83="",Pronostici!$M83=""),"",IF(Pronostici!$L83&gt;Pronostici!$M83,"1",IF(Pronostici!$L83=Pronostici!$M83,"X","2"))))</f>
        <v/>
      </c>
      <c r="M83" s="63">
        <f>IF(Pronostici!$N83&lt;&gt;"",UPPER(Pronostici!$N83),IF(OR(Pronostici!$O83="",Pronostici!$P83=""),"",IF(Pronostici!$O83&gt;Pronostici!$P83,"1",IF(Pronostici!$O83=Pronostici!$P83,"X","2"))))</f>
        <v/>
      </c>
      <c r="N83" s="63">
        <f>IF(Pronostici!$Q83&lt;&gt;"",UPPER(Pronostici!$Q83),IF(OR(Pronostici!$R83="",Pronostici!$S83=""),"",IF(Pronostici!$R83&gt;Pronostici!$S83,"1",IF(Pronostici!$R83=Pronostici!$S83,"X","2"))))</f>
        <v/>
      </c>
    </row>
    <row r="84">
      <c r="A84" s="69">
        <f>Partite!$A84</f>
        <v/>
      </c>
      <c r="B84" s="25">
        <f>Partite!$B84</f>
        <v/>
      </c>
      <c r="C84" s="43">
        <f>IF(Partite!$E84="","",Partite!$E84&amp;"  -  "&amp;Partite!$F84)</f>
        <v/>
      </c>
      <c r="D84" s="22">
        <f>IF(Partite!$K84&lt;&gt;"Giocata","",IF(AND(Pronostici!$F84&lt;&gt;"",Pronostici!$G84&lt;&gt;"",Pronostici!$F84=Partite!$G84,Pronostici!$G84=Partite!$H84),Config!$D$6,IF(AND($J84&lt;&gt;"",$J84=Partite!$I84),Config!$D$7,Config!$D$8)))</f>
        <v/>
      </c>
      <c r="E84" s="22">
        <f>IF(Partite!$K84&lt;&gt;"Giocata","",IF(AND(Pronostici!$I84&lt;&gt;"",Pronostici!$J84&lt;&gt;"",Pronostici!$I84=Partite!$G84,Pronostici!$J84=Partite!$H84),Config!$D$6,IF(AND($K84&lt;&gt;"",$K84=Partite!$I84),Config!$D$7,Config!$D$8)))</f>
        <v/>
      </c>
      <c r="F84" s="22">
        <f>IF(Partite!$K84&lt;&gt;"Giocata","",IF(AND(Pronostici!$L84&lt;&gt;"",Pronostici!$M84&lt;&gt;"",Pronostici!$L84=Partite!$G84,Pronostici!$M84=Partite!$H84),Config!$D$6,IF(AND($L84&lt;&gt;"",$L84=Partite!$I84),Config!$D$7,Config!$D$8)))</f>
        <v/>
      </c>
      <c r="G84" s="22">
        <f>IF(Partite!$K84&lt;&gt;"Giocata","",IF(AND(Pronostici!$O84&lt;&gt;"",Pronostici!$P84&lt;&gt;"",Pronostici!$O84=Partite!$G84,Pronostici!$P84=Partite!$H84),Config!$D$6,IF(AND($M84&lt;&gt;"",$M84=Partite!$I84),Config!$D$7,Config!$D$8)))</f>
        <v/>
      </c>
      <c r="H84" s="22">
        <f>IF(Partite!$K84&lt;&gt;"Giocata","",IF(AND(Pronostici!$R84&lt;&gt;"",Pronostici!$S84&lt;&gt;"",Pronostici!$R84=Partite!$G84,Pronostici!$S84=Partite!$H84),Config!$D$6,IF(AND($N84&lt;&gt;"",$N84=Partite!$I84),Config!$D$7,Config!$D$8)))</f>
        <v/>
      </c>
      <c r="J84" s="63">
        <f>IF(Pronostici!$E84&lt;&gt;"",UPPER(Pronostici!$E84),IF(OR(Pronostici!$F84="",Pronostici!$G84=""),"",IF(Pronostici!$F84&gt;Pronostici!$G84,"1",IF(Pronostici!$F84=Pronostici!$G84,"X","2"))))</f>
        <v/>
      </c>
      <c r="K84" s="63">
        <f>IF(Pronostici!$H84&lt;&gt;"",UPPER(Pronostici!$H84),IF(OR(Pronostici!$I84="",Pronostici!$J84=""),"",IF(Pronostici!$I84&gt;Pronostici!$J84,"1",IF(Pronostici!$I84=Pronostici!$J84,"X","2"))))</f>
        <v/>
      </c>
      <c r="L84" s="63">
        <f>IF(Pronostici!$K84&lt;&gt;"",UPPER(Pronostici!$K84),IF(OR(Pronostici!$L84="",Pronostici!$M84=""),"",IF(Pronostici!$L84&gt;Pronostici!$M84,"1",IF(Pronostici!$L84=Pronostici!$M84,"X","2"))))</f>
        <v/>
      </c>
      <c r="M84" s="63">
        <f>IF(Pronostici!$N84&lt;&gt;"",UPPER(Pronostici!$N84),IF(OR(Pronostici!$O84="",Pronostici!$P84=""),"",IF(Pronostici!$O84&gt;Pronostici!$P84,"1",IF(Pronostici!$O84=Pronostici!$P84,"X","2"))))</f>
        <v/>
      </c>
      <c r="N84" s="63">
        <f>IF(Pronostici!$Q84&lt;&gt;"",UPPER(Pronostici!$Q84),IF(OR(Pronostici!$R84="",Pronostici!$S84=""),"",IF(Pronostici!$R84&gt;Pronostici!$S84,"1",IF(Pronostici!$R84=Pronostici!$S84,"X","2"))))</f>
        <v/>
      </c>
    </row>
    <row r="85">
      <c r="A85" s="69">
        <f>Partite!$A85</f>
        <v/>
      </c>
      <c r="B85" s="25">
        <f>Partite!$B85</f>
        <v/>
      </c>
      <c r="C85" s="43">
        <f>IF(Partite!$E85="","",Partite!$E85&amp;"  -  "&amp;Partite!$F85)</f>
        <v/>
      </c>
      <c r="D85" s="22">
        <f>IF(Partite!$K85&lt;&gt;"Giocata","",IF(AND(Pronostici!$F85&lt;&gt;"",Pronostici!$G85&lt;&gt;"",Pronostici!$F85=Partite!$G85,Pronostici!$G85=Partite!$H85),Config!$D$6,IF(AND($J85&lt;&gt;"",$J85=Partite!$I85),Config!$D$7,Config!$D$8)))</f>
        <v/>
      </c>
      <c r="E85" s="22">
        <f>IF(Partite!$K85&lt;&gt;"Giocata","",IF(AND(Pronostici!$I85&lt;&gt;"",Pronostici!$J85&lt;&gt;"",Pronostici!$I85=Partite!$G85,Pronostici!$J85=Partite!$H85),Config!$D$6,IF(AND($K85&lt;&gt;"",$K85=Partite!$I85),Config!$D$7,Config!$D$8)))</f>
        <v/>
      </c>
      <c r="F85" s="22">
        <f>IF(Partite!$K85&lt;&gt;"Giocata","",IF(AND(Pronostici!$L85&lt;&gt;"",Pronostici!$M85&lt;&gt;"",Pronostici!$L85=Partite!$G85,Pronostici!$M85=Partite!$H85),Config!$D$6,IF(AND($L85&lt;&gt;"",$L85=Partite!$I85),Config!$D$7,Config!$D$8)))</f>
        <v/>
      </c>
      <c r="G85" s="22">
        <f>IF(Partite!$K85&lt;&gt;"Giocata","",IF(AND(Pronostici!$O85&lt;&gt;"",Pronostici!$P85&lt;&gt;"",Pronostici!$O85=Partite!$G85,Pronostici!$P85=Partite!$H85),Config!$D$6,IF(AND($M85&lt;&gt;"",$M85=Partite!$I85),Config!$D$7,Config!$D$8)))</f>
        <v/>
      </c>
      <c r="H85" s="22">
        <f>IF(Partite!$K85&lt;&gt;"Giocata","",IF(AND(Pronostici!$R85&lt;&gt;"",Pronostici!$S85&lt;&gt;"",Pronostici!$R85=Partite!$G85,Pronostici!$S85=Partite!$H85),Config!$D$6,IF(AND($N85&lt;&gt;"",$N85=Partite!$I85),Config!$D$7,Config!$D$8)))</f>
        <v/>
      </c>
      <c r="J85" s="63">
        <f>IF(Pronostici!$E85&lt;&gt;"",UPPER(Pronostici!$E85),IF(OR(Pronostici!$F85="",Pronostici!$G85=""),"",IF(Pronostici!$F85&gt;Pronostici!$G85,"1",IF(Pronostici!$F85=Pronostici!$G85,"X","2"))))</f>
        <v/>
      </c>
      <c r="K85" s="63">
        <f>IF(Pronostici!$H85&lt;&gt;"",UPPER(Pronostici!$H85),IF(OR(Pronostici!$I85="",Pronostici!$J85=""),"",IF(Pronostici!$I85&gt;Pronostici!$J85,"1",IF(Pronostici!$I85=Pronostici!$J85,"X","2"))))</f>
        <v/>
      </c>
      <c r="L85" s="63">
        <f>IF(Pronostici!$K85&lt;&gt;"",UPPER(Pronostici!$K85),IF(OR(Pronostici!$L85="",Pronostici!$M85=""),"",IF(Pronostici!$L85&gt;Pronostici!$M85,"1",IF(Pronostici!$L85=Pronostici!$M85,"X","2"))))</f>
        <v/>
      </c>
      <c r="M85" s="63">
        <f>IF(Pronostici!$N85&lt;&gt;"",UPPER(Pronostici!$N85),IF(OR(Pronostici!$O85="",Pronostici!$P85=""),"",IF(Pronostici!$O85&gt;Pronostici!$P85,"1",IF(Pronostici!$O85=Pronostici!$P85,"X","2"))))</f>
        <v/>
      </c>
      <c r="N85" s="63">
        <f>IF(Pronostici!$Q85&lt;&gt;"",UPPER(Pronostici!$Q85),IF(OR(Pronostici!$R85="",Pronostici!$S85=""),"",IF(Pronostici!$R85&gt;Pronostici!$S85,"1",IF(Pronostici!$R85=Pronostici!$S85,"X","2"))))</f>
        <v/>
      </c>
    </row>
    <row r="86">
      <c r="A86" s="69">
        <f>Partite!$A86</f>
        <v/>
      </c>
      <c r="B86" s="25">
        <f>Partite!$B86</f>
        <v/>
      </c>
      <c r="C86" s="43">
        <f>IF(Partite!$E86="","",Partite!$E86&amp;"  -  "&amp;Partite!$F86)</f>
        <v/>
      </c>
      <c r="D86" s="22">
        <f>IF(Partite!$K86&lt;&gt;"Giocata","",IF(AND(Pronostici!$F86&lt;&gt;"",Pronostici!$G86&lt;&gt;"",Pronostici!$F86=Partite!$G86,Pronostici!$G86=Partite!$H86),Config!$D$6,IF(AND($J86&lt;&gt;"",$J86=Partite!$I86),Config!$D$7,Config!$D$8)))</f>
        <v/>
      </c>
      <c r="E86" s="22">
        <f>IF(Partite!$K86&lt;&gt;"Giocata","",IF(AND(Pronostici!$I86&lt;&gt;"",Pronostici!$J86&lt;&gt;"",Pronostici!$I86=Partite!$G86,Pronostici!$J86=Partite!$H86),Config!$D$6,IF(AND($K86&lt;&gt;"",$K86=Partite!$I86),Config!$D$7,Config!$D$8)))</f>
        <v/>
      </c>
      <c r="F86" s="22">
        <f>IF(Partite!$K86&lt;&gt;"Giocata","",IF(AND(Pronostici!$L86&lt;&gt;"",Pronostici!$M86&lt;&gt;"",Pronostici!$L86=Partite!$G86,Pronostici!$M86=Partite!$H86),Config!$D$6,IF(AND($L86&lt;&gt;"",$L86=Partite!$I86),Config!$D$7,Config!$D$8)))</f>
        <v/>
      </c>
      <c r="G86" s="22">
        <f>IF(Partite!$K86&lt;&gt;"Giocata","",IF(AND(Pronostici!$O86&lt;&gt;"",Pronostici!$P86&lt;&gt;"",Pronostici!$O86=Partite!$G86,Pronostici!$P86=Partite!$H86),Config!$D$6,IF(AND($M86&lt;&gt;"",$M86=Partite!$I86),Config!$D$7,Config!$D$8)))</f>
        <v/>
      </c>
      <c r="H86" s="22">
        <f>IF(Partite!$K86&lt;&gt;"Giocata","",IF(AND(Pronostici!$R86&lt;&gt;"",Pronostici!$S86&lt;&gt;"",Pronostici!$R86=Partite!$G86,Pronostici!$S86=Partite!$H86),Config!$D$6,IF(AND($N86&lt;&gt;"",$N86=Partite!$I86),Config!$D$7,Config!$D$8)))</f>
        <v/>
      </c>
      <c r="J86" s="63">
        <f>IF(Pronostici!$E86&lt;&gt;"",UPPER(Pronostici!$E86),IF(OR(Pronostici!$F86="",Pronostici!$G86=""),"",IF(Pronostici!$F86&gt;Pronostici!$G86,"1",IF(Pronostici!$F86=Pronostici!$G86,"X","2"))))</f>
        <v/>
      </c>
      <c r="K86" s="63">
        <f>IF(Pronostici!$H86&lt;&gt;"",UPPER(Pronostici!$H86),IF(OR(Pronostici!$I86="",Pronostici!$J86=""),"",IF(Pronostici!$I86&gt;Pronostici!$J86,"1",IF(Pronostici!$I86=Pronostici!$J86,"X","2"))))</f>
        <v/>
      </c>
      <c r="L86" s="63">
        <f>IF(Pronostici!$K86&lt;&gt;"",UPPER(Pronostici!$K86),IF(OR(Pronostici!$L86="",Pronostici!$M86=""),"",IF(Pronostici!$L86&gt;Pronostici!$M86,"1",IF(Pronostici!$L86=Pronostici!$M86,"X","2"))))</f>
        <v/>
      </c>
      <c r="M86" s="63">
        <f>IF(Pronostici!$N86&lt;&gt;"",UPPER(Pronostici!$N86),IF(OR(Pronostici!$O86="",Pronostici!$P86=""),"",IF(Pronostici!$O86&gt;Pronostici!$P86,"1",IF(Pronostici!$O86=Pronostici!$P86,"X","2"))))</f>
        <v/>
      </c>
      <c r="N86" s="63">
        <f>IF(Pronostici!$Q86&lt;&gt;"",UPPER(Pronostici!$Q86),IF(OR(Pronostici!$R86="",Pronostici!$S86=""),"",IF(Pronostici!$R86&gt;Pronostici!$S86,"1",IF(Pronostici!$R86=Pronostici!$S86,"X","2"))))</f>
        <v/>
      </c>
    </row>
    <row r="87">
      <c r="A87" s="69">
        <f>Partite!$A87</f>
        <v/>
      </c>
      <c r="B87" s="25">
        <f>Partite!$B87</f>
        <v/>
      </c>
      <c r="C87" s="43">
        <f>IF(Partite!$E87="","",Partite!$E87&amp;"  -  "&amp;Partite!$F87)</f>
        <v/>
      </c>
      <c r="D87" s="22">
        <f>IF(Partite!$K87&lt;&gt;"Giocata","",IF(AND(Pronostici!$F87&lt;&gt;"",Pronostici!$G87&lt;&gt;"",Pronostici!$F87=Partite!$G87,Pronostici!$G87=Partite!$H87),Config!$D$6,IF(AND($J87&lt;&gt;"",$J87=Partite!$I87),Config!$D$7,Config!$D$8)))</f>
        <v/>
      </c>
      <c r="E87" s="22">
        <f>IF(Partite!$K87&lt;&gt;"Giocata","",IF(AND(Pronostici!$I87&lt;&gt;"",Pronostici!$J87&lt;&gt;"",Pronostici!$I87=Partite!$G87,Pronostici!$J87=Partite!$H87),Config!$D$6,IF(AND($K87&lt;&gt;"",$K87=Partite!$I87),Config!$D$7,Config!$D$8)))</f>
        <v/>
      </c>
      <c r="F87" s="22">
        <f>IF(Partite!$K87&lt;&gt;"Giocata","",IF(AND(Pronostici!$L87&lt;&gt;"",Pronostici!$M87&lt;&gt;"",Pronostici!$L87=Partite!$G87,Pronostici!$M87=Partite!$H87),Config!$D$6,IF(AND($L87&lt;&gt;"",$L87=Partite!$I87),Config!$D$7,Config!$D$8)))</f>
        <v/>
      </c>
      <c r="G87" s="22">
        <f>IF(Partite!$K87&lt;&gt;"Giocata","",IF(AND(Pronostici!$O87&lt;&gt;"",Pronostici!$P87&lt;&gt;"",Pronostici!$O87=Partite!$G87,Pronostici!$P87=Partite!$H87),Config!$D$6,IF(AND($M87&lt;&gt;"",$M87=Partite!$I87),Config!$D$7,Config!$D$8)))</f>
        <v/>
      </c>
      <c r="H87" s="22">
        <f>IF(Partite!$K87&lt;&gt;"Giocata","",IF(AND(Pronostici!$R87&lt;&gt;"",Pronostici!$S87&lt;&gt;"",Pronostici!$R87=Partite!$G87,Pronostici!$S87=Partite!$H87),Config!$D$6,IF(AND($N87&lt;&gt;"",$N87=Partite!$I87),Config!$D$7,Config!$D$8)))</f>
        <v/>
      </c>
      <c r="J87" s="63">
        <f>IF(Pronostici!$E87&lt;&gt;"",UPPER(Pronostici!$E87),IF(OR(Pronostici!$F87="",Pronostici!$G87=""),"",IF(Pronostici!$F87&gt;Pronostici!$G87,"1",IF(Pronostici!$F87=Pronostici!$G87,"X","2"))))</f>
        <v/>
      </c>
      <c r="K87" s="63">
        <f>IF(Pronostici!$H87&lt;&gt;"",UPPER(Pronostici!$H87),IF(OR(Pronostici!$I87="",Pronostici!$J87=""),"",IF(Pronostici!$I87&gt;Pronostici!$J87,"1",IF(Pronostici!$I87=Pronostici!$J87,"X","2"))))</f>
        <v/>
      </c>
      <c r="L87" s="63">
        <f>IF(Pronostici!$K87&lt;&gt;"",UPPER(Pronostici!$K87),IF(OR(Pronostici!$L87="",Pronostici!$M87=""),"",IF(Pronostici!$L87&gt;Pronostici!$M87,"1",IF(Pronostici!$L87=Pronostici!$M87,"X","2"))))</f>
        <v/>
      </c>
      <c r="M87" s="63">
        <f>IF(Pronostici!$N87&lt;&gt;"",UPPER(Pronostici!$N87),IF(OR(Pronostici!$O87="",Pronostici!$P87=""),"",IF(Pronostici!$O87&gt;Pronostici!$P87,"1",IF(Pronostici!$O87=Pronostici!$P87,"X","2"))))</f>
        <v/>
      </c>
      <c r="N87" s="63">
        <f>IF(Pronostici!$Q87&lt;&gt;"",UPPER(Pronostici!$Q87),IF(OR(Pronostici!$R87="",Pronostici!$S87=""),"",IF(Pronostici!$R87&gt;Pronostici!$S87,"1",IF(Pronostici!$R87=Pronostici!$S87,"X","2"))))</f>
        <v/>
      </c>
    </row>
    <row r="88">
      <c r="A88" s="69">
        <f>Partite!$A88</f>
        <v/>
      </c>
      <c r="B88" s="25">
        <f>Partite!$B88</f>
        <v/>
      </c>
      <c r="C88" s="43">
        <f>IF(Partite!$E88="","",Partite!$E88&amp;"  -  "&amp;Partite!$F88)</f>
        <v/>
      </c>
      <c r="D88" s="22">
        <f>IF(Partite!$K88&lt;&gt;"Giocata","",IF(AND(Pronostici!$F88&lt;&gt;"",Pronostici!$G88&lt;&gt;"",Pronostici!$F88=Partite!$G88,Pronostici!$G88=Partite!$H88),Config!$D$6,IF(AND($J88&lt;&gt;"",$J88=Partite!$I88),Config!$D$7,Config!$D$8)))</f>
        <v/>
      </c>
      <c r="E88" s="22">
        <f>IF(Partite!$K88&lt;&gt;"Giocata","",IF(AND(Pronostici!$I88&lt;&gt;"",Pronostici!$J88&lt;&gt;"",Pronostici!$I88=Partite!$G88,Pronostici!$J88=Partite!$H88),Config!$D$6,IF(AND($K88&lt;&gt;"",$K88=Partite!$I88),Config!$D$7,Config!$D$8)))</f>
        <v/>
      </c>
      <c r="F88" s="22">
        <f>IF(Partite!$K88&lt;&gt;"Giocata","",IF(AND(Pronostici!$L88&lt;&gt;"",Pronostici!$M88&lt;&gt;"",Pronostici!$L88=Partite!$G88,Pronostici!$M88=Partite!$H88),Config!$D$6,IF(AND($L88&lt;&gt;"",$L88=Partite!$I88),Config!$D$7,Config!$D$8)))</f>
        <v/>
      </c>
      <c r="G88" s="22">
        <f>IF(Partite!$K88&lt;&gt;"Giocata","",IF(AND(Pronostici!$O88&lt;&gt;"",Pronostici!$P88&lt;&gt;"",Pronostici!$O88=Partite!$G88,Pronostici!$P88=Partite!$H88),Config!$D$6,IF(AND($M88&lt;&gt;"",$M88=Partite!$I88),Config!$D$7,Config!$D$8)))</f>
        <v/>
      </c>
      <c r="H88" s="22">
        <f>IF(Partite!$K88&lt;&gt;"Giocata","",IF(AND(Pronostici!$R88&lt;&gt;"",Pronostici!$S88&lt;&gt;"",Pronostici!$R88=Partite!$G88,Pronostici!$S88=Partite!$H88),Config!$D$6,IF(AND($N88&lt;&gt;"",$N88=Partite!$I88),Config!$D$7,Config!$D$8)))</f>
        <v/>
      </c>
      <c r="J88" s="63">
        <f>IF(Pronostici!$E88&lt;&gt;"",UPPER(Pronostici!$E88),IF(OR(Pronostici!$F88="",Pronostici!$G88=""),"",IF(Pronostici!$F88&gt;Pronostici!$G88,"1",IF(Pronostici!$F88=Pronostici!$G88,"X","2"))))</f>
        <v/>
      </c>
      <c r="K88" s="63">
        <f>IF(Pronostici!$H88&lt;&gt;"",UPPER(Pronostici!$H88),IF(OR(Pronostici!$I88="",Pronostici!$J88=""),"",IF(Pronostici!$I88&gt;Pronostici!$J88,"1",IF(Pronostici!$I88=Pronostici!$J88,"X","2"))))</f>
        <v/>
      </c>
      <c r="L88" s="63">
        <f>IF(Pronostici!$K88&lt;&gt;"",UPPER(Pronostici!$K88),IF(OR(Pronostici!$L88="",Pronostici!$M88=""),"",IF(Pronostici!$L88&gt;Pronostici!$M88,"1",IF(Pronostici!$L88=Pronostici!$M88,"X","2"))))</f>
        <v/>
      </c>
      <c r="M88" s="63">
        <f>IF(Pronostici!$N88&lt;&gt;"",UPPER(Pronostici!$N88),IF(OR(Pronostici!$O88="",Pronostici!$P88=""),"",IF(Pronostici!$O88&gt;Pronostici!$P88,"1",IF(Pronostici!$O88=Pronostici!$P88,"X","2"))))</f>
        <v/>
      </c>
      <c r="N88" s="63">
        <f>IF(Pronostici!$Q88&lt;&gt;"",UPPER(Pronostici!$Q88),IF(OR(Pronostici!$R88="",Pronostici!$S88=""),"",IF(Pronostici!$R88&gt;Pronostici!$S88,"1",IF(Pronostici!$R88=Pronostici!$S88,"X","2"))))</f>
        <v/>
      </c>
    </row>
    <row r="89">
      <c r="A89" s="69">
        <f>Partite!$A89</f>
        <v/>
      </c>
      <c r="B89" s="25">
        <f>Partite!$B89</f>
        <v/>
      </c>
      <c r="C89" s="43">
        <f>IF(Partite!$E89="","",Partite!$E89&amp;"  -  "&amp;Partite!$F89)</f>
        <v/>
      </c>
      <c r="D89" s="22">
        <f>IF(Partite!$K89&lt;&gt;"Giocata","",IF(AND(Pronostici!$F89&lt;&gt;"",Pronostici!$G89&lt;&gt;"",Pronostici!$F89=Partite!$G89,Pronostici!$G89=Partite!$H89),Config!$D$6,IF(AND($J89&lt;&gt;"",$J89=Partite!$I89),Config!$D$7,Config!$D$8)))</f>
        <v/>
      </c>
      <c r="E89" s="22">
        <f>IF(Partite!$K89&lt;&gt;"Giocata","",IF(AND(Pronostici!$I89&lt;&gt;"",Pronostici!$J89&lt;&gt;"",Pronostici!$I89=Partite!$G89,Pronostici!$J89=Partite!$H89),Config!$D$6,IF(AND($K89&lt;&gt;"",$K89=Partite!$I89),Config!$D$7,Config!$D$8)))</f>
        <v/>
      </c>
      <c r="F89" s="22">
        <f>IF(Partite!$K89&lt;&gt;"Giocata","",IF(AND(Pronostici!$L89&lt;&gt;"",Pronostici!$M89&lt;&gt;"",Pronostici!$L89=Partite!$G89,Pronostici!$M89=Partite!$H89),Config!$D$6,IF(AND($L89&lt;&gt;"",$L89=Partite!$I89),Config!$D$7,Config!$D$8)))</f>
        <v/>
      </c>
      <c r="G89" s="22">
        <f>IF(Partite!$K89&lt;&gt;"Giocata","",IF(AND(Pronostici!$O89&lt;&gt;"",Pronostici!$P89&lt;&gt;"",Pronostici!$O89=Partite!$G89,Pronostici!$P89=Partite!$H89),Config!$D$6,IF(AND($M89&lt;&gt;"",$M89=Partite!$I89),Config!$D$7,Config!$D$8)))</f>
        <v/>
      </c>
      <c r="H89" s="22">
        <f>IF(Partite!$K89&lt;&gt;"Giocata","",IF(AND(Pronostici!$R89&lt;&gt;"",Pronostici!$S89&lt;&gt;"",Pronostici!$R89=Partite!$G89,Pronostici!$S89=Partite!$H89),Config!$D$6,IF(AND($N89&lt;&gt;"",$N89=Partite!$I89),Config!$D$7,Config!$D$8)))</f>
        <v/>
      </c>
      <c r="J89" s="63">
        <f>IF(Pronostici!$E89&lt;&gt;"",UPPER(Pronostici!$E89),IF(OR(Pronostici!$F89="",Pronostici!$G89=""),"",IF(Pronostici!$F89&gt;Pronostici!$G89,"1",IF(Pronostici!$F89=Pronostici!$G89,"X","2"))))</f>
        <v/>
      </c>
      <c r="K89" s="63">
        <f>IF(Pronostici!$H89&lt;&gt;"",UPPER(Pronostici!$H89),IF(OR(Pronostici!$I89="",Pronostici!$J89=""),"",IF(Pronostici!$I89&gt;Pronostici!$J89,"1",IF(Pronostici!$I89=Pronostici!$J89,"X","2"))))</f>
        <v/>
      </c>
      <c r="L89" s="63">
        <f>IF(Pronostici!$K89&lt;&gt;"",UPPER(Pronostici!$K89),IF(OR(Pronostici!$L89="",Pronostici!$M89=""),"",IF(Pronostici!$L89&gt;Pronostici!$M89,"1",IF(Pronostici!$L89=Pronostici!$M89,"X","2"))))</f>
        <v/>
      </c>
      <c r="M89" s="63">
        <f>IF(Pronostici!$N89&lt;&gt;"",UPPER(Pronostici!$N89),IF(OR(Pronostici!$O89="",Pronostici!$P89=""),"",IF(Pronostici!$O89&gt;Pronostici!$P89,"1",IF(Pronostici!$O89=Pronostici!$P89,"X","2"))))</f>
        <v/>
      </c>
      <c r="N89" s="63">
        <f>IF(Pronostici!$Q89&lt;&gt;"",UPPER(Pronostici!$Q89),IF(OR(Pronostici!$R89="",Pronostici!$S89=""),"",IF(Pronostici!$R89&gt;Pronostici!$S89,"1",IF(Pronostici!$R89=Pronostici!$S89,"X","2"))))</f>
        <v/>
      </c>
    </row>
    <row r="90">
      <c r="A90" s="69">
        <f>Partite!$A90</f>
        <v/>
      </c>
      <c r="B90" s="25">
        <f>Partite!$B90</f>
        <v/>
      </c>
      <c r="C90" s="43">
        <f>IF(Partite!$E90="","",Partite!$E90&amp;"  -  "&amp;Partite!$F90)</f>
        <v/>
      </c>
      <c r="D90" s="22">
        <f>IF(Partite!$K90&lt;&gt;"Giocata","",IF(AND(Pronostici!$F90&lt;&gt;"",Pronostici!$G90&lt;&gt;"",Pronostici!$F90=Partite!$G90,Pronostici!$G90=Partite!$H90),Config!$D$6,IF(AND($J90&lt;&gt;"",$J90=Partite!$I90),Config!$D$7,Config!$D$8)))</f>
        <v/>
      </c>
      <c r="E90" s="22">
        <f>IF(Partite!$K90&lt;&gt;"Giocata","",IF(AND(Pronostici!$I90&lt;&gt;"",Pronostici!$J90&lt;&gt;"",Pronostici!$I90=Partite!$G90,Pronostici!$J90=Partite!$H90),Config!$D$6,IF(AND($K90&lt;&gt;"",$K90=Partite!$I90),Config!$D$7,Config!$D$8)))</f>
        <v/>
      </c>
      <c r="F90" s="22">
        <f>IF(Partite!$K90&lt;&gt;"Giocata","",IF(AND(Pronostici!$L90&lt;&gt;"",Pronostici!$M90&lt;&gt;"",Pronostici!$L90=Partite!$G90,Pronostici!$M90=Partite!$H90),Config!$D$6,IF(AND($L90&lt;&gt;"",$L90=Partite!$I90),Config!$D$7,Config!$D$8)))</f>
        <v/>
      </c>
      <c r="G90" s="22">
        <f>IF(Partite!$K90&lt;&gt;"Giocata","",IF(AND(Pronostici!$O90&lt;&gt;"",Pronostici!$P90&lt;&gt;"",Pronostici!$O90=Partite!$G90,Pronostici!$P90=Partite!$H90),Config!$D$6,IF(AND($M90&lt;&gt;"",$M90=Partite!$I90),Config!$D$7,Config!$D$8)))</f>
        <v/>
      </c>
      <c r="H90" s="22">
        <f>IF(Partite!$K90&lt;&gt;"Giocata","",IF(AND(Pronostici!$R90&lt;&gt;"",Pronostici!$S90&lt;&gt;"",Pronostici!$R90=Partite!$G90,Pronostici!$S90=Partite!$H90),Config!$D$6,IF(AND($N90&lt;&gt;"",$N90=Partite!$I90),Config!$D$7,Config!$D$8)))</f>
        <v/>
      </c>
      <c r="J90" s="63">
        <f>IF(Pronostici!$E90&lt;&gt;"",UPPER(Pronostici!$E90),IF(OR(Pronostici!$F90="",Pronostici!$G90=""),"",IF(Pronostici!$F90&gt;Pronostici!$G90,"1",IF(Pronostici!$F90=Pronostici!$G90,"X","2"))))</f>
        <v/>
      </c>
      <c r="K90" s="63">
        <f>IF(Pronostici!$H90&lt;&gt;"",UPPER(Pronostici!$H90),IF(OR(Pronostici!$I90="",Pronostici!$J90=""),"",IF(Pronostici!$I90&gt;Pronostici!$J90,"1",IF(Pronostici!$I90=Pronostici!$J90,"X","2"))))</f>
        <v/>
      </c>
      <c r="L90" s="63">
        <f>IF(Pronostici!$K90&lt;&gt;"",UPPER(Pronostici!$K90),IF(OR(Pronostici!$L90="",Pronostici!$M90=""),"",IF(Pronostici!$L90&gt;Pronostici!$M90,"1",IF(Pronostici!$L90=Pronostici!$M90,"X","2"))))</f>
        <v/>
      </c>
      <c r="M90" s="63">
        <f>IF(Pronostici!$N90&lt;&gt;"",UPPER(Pronostici!$N90),IF(OR(Pronostici!$O90="",Pronostici!$P90=""),"",IF(Pronostici!$O90&gt;Pronostici!$P90,"1",IF(Pronostici!$O90=Pronostici!$P90,"X","2"))))</f>
        <v/>
      </c>
      <c r="N90" s="63">
        <f>IF(Pronostici!$Q90&lt;&gt;"",UPPER(Pronostici!$Q90),IF(OR(Pronostici!$R90="",Pronostici!$S90=""),"",IF(Pronostici!$R90&gt;Pronostici!$S90,"1",IF(Pronostici!$R90=Pronostici!$S90,"X","2"))))</f>
        <v/>
      </c>
    </row>
    <row r="91">
      <c r="A91" s="69">
        <f>Partite!$A91</f>
        <v/>
      </c>
      <c r="B91" s="25">
        <f>Partite!$B91</f>
        <v/>
      </c>
      <c r="C91" s="43">
        <f>IF(Partite!$E91="","",Partite!$E91&amp;"  -  "&amp;Partite!$F91)</f>
        <v/>
      </c>
      <c r="D91" s="22">
        <f>IF(Partite!$K91&lt;&gt;"Giocata","",IF(AND(Pronostici!$F91&lt;&gt;"",Pronostici!$G91&lt;&gt;"",Pronostici!$F91=Partite!$G91,Pronostici!$G91=Partite!$H91),Config!$D$6,IF(AND($J91&lt;&gt;"",$J91=Partite!$I91),Config!$D$7,Config!$D$8)))</f>
        <v/>
      </c>
      <c r="E91" s="22">
        <f>IF(Partite!$K91&lt;&gt;"Giocata","",IF(AND(Pronostici!$I91&lt;&gt;"",Pronostici!$J91&lt;&gt;"",Pronostici!$I91=Partite!$G91,Pronostici!$J91=Partite!$H91),Config!$D$6,IF(AND($K91&lt;&gt;"",$K91=Partite!$I91),Config!$D$7,Config!$D$8)))</f>
        <v/>
      </c>
      <c r="F91" s="22">
        <f>IF(Partite!$K91&lt;&gt;"Giocata","",IF(AND(Pronostici!$L91&lt;&gt;"",Pronostici!$M91&lt;&gt;"",Pronostici!$L91=Partite!$G91,Pronostici!$M91=Partite!$H91),Config!$D$6,IF(AND($L91&lt;&gt;"",$L91=Partite!$I91),Config!$D$7,Config!$D$8)))</f>
        <v/>
      </c>
      <c r="G91" s="22">
        <f>IF(Partite!$K91&lt;&gt;"Giocata","",IF(AND(Pronostici!$O91&lt;&gt;"",Pronostici!$P91&lt;&gt;"",Pronostici!$O91=Partite!$G91,Pronostici!$P91=Partite!$H91),Config!$D$6,IF(AND($M91&lt;&gt;"",$M91=Partite!$I91),Config!$D$7,Config!$D$8)))</f>
        <v/>
      </c>
      <c r="H91" s="22">
        <f>IF(Partite!$K91&lt;&gt;"Giocata","",IF(AND(Pronostici!$R91&lt;&gt;"",Pronostici!$S91&lt;&gt;"",Pronostici!$R91=Partite!$G91,Pronostici!$S91=Partite!$H91),Config!$D$6,IF(AND($N91&lt;&gt;"",$N91=Partite!$I91),Config!$D$7,Config!$D$8)))</f>
        <v/>
      </c>
      <c r="J91" s="63">
        <f>IF(Pronostici!$E91&lt;&gt;"",UPPER(Pronostici!$E91),IF(OR(Pronostici!$F91="",Pronostici!$G91=""),"",IF(Pronostici!$F91&gt;Pronostici!$G91,"1",IF(Pronostici!$F91=Pronostici!$G91,"X","2"))))</f>
        <v/>
      </c>
      <c r="K91" s="63">
        <f>IF(Pronostici!$H91&lt;&gt;"",UPPER(Pronostici!$H91),IF(OR(Pronostici!$I91="",Pronostici!$J91=""),"",IF(Pronostici!$I91&gt;Pronostici!$J91,"1",IF(Pronostici!$I91=Pronostici!$J91,"X","2"))))</f>
        <v/>
      </c>
      <c r="L91" s="63">
        <f>IF(Pronostici!$K91&lt;&gt;"",UPPER(Pronostici!$K91),IF(OR(Pronostici!$L91="",Pronostici!$M91=""),"",IF(Pronostici!$L91&gt;Pronostici!$M91,"1",IF(Pronostici!$L91=Pronostici!$M91,"X","2"))))</f>
        <v/>
      </c>
      <c r="M91" s="63">
        <f>IF(Pronostici!$N91&lt;&gt;"",UPPER(Pronostici!$N91),IF(OR(Pronostici!$O91="",Pronostici!$P91=""),"",IF(Pronostici!$O91&gt;Pronostici!$P91,"1",IF(Pronostici!$O91=Pronostici!$P91,"X","2"))))</f>
        <v/>
      </c>
      <c r="N91" s="63">
        <f>IF(Pronostici!$Q91&lt;&gt;"",UPPER(Pronostici!$Q91),IF(OR(Pronostici!$R91="",Pronostici!$S91=""),"",IF(Pronostici!$R91&gt;Pronostici!$S91,"1",IF(Pronostici!$R91=Pronostici!$S91,"X","2"))))</f>
        <v/>
      </c>
    </row>
    <row r="92">
      <c r="A92" s="69">
        <f>Partite!$A92</f>
        <v/>
      </c>
      <c r="B92" s="25">
        <f>Partite!$B92</f>
        <v/>
      </c>
      <c r="C92" s="43">
        <f>IF(Partite!$E92="","",Partite!$E92&amp;"  -  "&amp;Partite!$F92)</f>
        <v/>
      </c>
      <c r="D92" s="22">
        <f>IF(Partite!$K92&lt;&gt;"Giocata","",IF(AND(Pronostici!$F92&lt;&gt;"",Pronostici!$G92&lt;&gt;"",Pronostici!$F92=Partite!$G92,Pronostici!$G92=Partite!$H92),Config!$D$6,IF(AND($J92&lt;&gt;"",$J92=Partite!$I92),Config!$D$7,Config!$D$8)))</f>
        <v/>
      </c>
      <c r="E92" s="22">
        <f>IF(Partite!$K92&lt;&gt;"Giocata","",IF(AND(Pronostici!$I92&lt;&gt;"",Pronostici!$J92&lt;&gt;"",Pronostici!$I92=Partite!$G92,Pronostici!$J92=Partite!$H92),Config!$D$6,IF(AND($K92&lt;&gt;"",$K92=Partite!$I92),Config!$D$7,Config!$D$8)))</f>
        <v/>
      </c>
      <c r="F92" s="22">
        <f>IF(Partite!$K92&lt;&gt;"Giocata","",IF(AND(Pronostici!$L92&lt;&gt;"",Pronostici!$M92&lt;&gt;"",Pronostici!$L92=Partite!$G92,Pronostici!$M92=Partite!$H92),Config!$D$6,IF(AND($L92&lt;&gt;"",$L92=Partite!$I92),Config!$D$7,Config!$D$8)))</f>
        <v/>
      </c>
      <c r="G92" s="22">
        <f>IF(Partite!$K92&lt;&gt;"Giocata","",IF(AND(Pronostici!$O92&lt;&gt;"",Pronostici!$P92&lt;&gt;"",Pronostici!$O92=Partite!$G92,Pronostici!$P92=Partite!$H92),Config!$D$6,IF(AND($M92&lt;&gt;"",$M92=Partite!$I92),Config!$D$7,Config!$D$8)))</f>
        <v/>
      </c>
      <c r="H92" s="22">
        <f>IF(Partite!$K92&lt;&gt;"Giocata","",IF(AND(Pronostici!$R92&lt;&gt;"",Pronostici!$S92&lt;&gt;"",Pronostici!$R92=Partite!$G92,Pronostici!$S92=Partite!$H92),Config!$D$6,IF(AND($N92&lt;&gt;"",$N92=Partite!$I92),Config!$D$7,Config!$D$8)))</f>
        <v/>
      </c>
      <c r="J92" s="63">
        <f>IF(Pronostici!$E92&lt;&gt;"",UPPER(Pronostici!$E92),IF(OR(Pronostici!$F92="",Pronostici!$G92=""),"",IF(Pronostici!$F92&gt;Pronostici!$G92,"1",IF(Pronostici!$F92=Pronostici!$G92,"X","2"))))</f>
        <v/>
      </c>
      <c r="K92" s="63">
        <f>IF(Pronostici!$H92&lt;&gt;"",UPPER(Pronostici!$H92),IF(OR(Pronostici!$I92="",Pronostici!$J92=""),"",IF(Pronostici!$I92&gt;Pronostici!$J92,"1",IF(Pronostici!$I92=Pronostici!$J92,"X","2"))))</f>
        <v/>
      </c>
      <c r="L92" s="63">
        <f>IF(Pronostici!$K92&lt;&gt;"",UPPER(Pronostici!$K92),IF(OR(Pronostici!$L92="",Pronostici!$M92=""),"",IF(Pronostici!$L92&gt;Pronostici!$M92,"1",IF(Pronostici!$L92=Pronostici!$M92,"X","2"))))</f>
        <v/>
      </c>
      <c r="M92" s="63">
        <f>IF(Pronostici!$N92&lt;&gt;"",UPPER(Pronostici!$N92),IF(OR(Pronostici!$O92="",Pronostici!$P92=""),"",IF(Pronostici!$O92&gt;Pronostici!$P92,"1",IF(Pronostici!$O92=Pronostici!$P92,"X","2"))))</f>
        <v/>
      </c>
      <c r="N92" s="63">
        <f>IF(Pronostici!$Q92&lt;&gt;"",UPPER(Pronostici!$Q92),IF(OR(Pronostici!$R92="",Pronostici!$S92=""),"",IF(Pronostici!$R92&gt;Pronostici!$S92,"1",IF(Pronostici!$R92=Pronostici!$S92,"X","2"))))</f>
        <v/>
      </c>
    </row>
  </sheetData>
  <mergeCells count="1">
    <mergeCell ref="A1:H1"/>
  </mergeCells>
  <conditionalFormatting sqref="D3:D92">
    <cfRule type="cellIs" priority="1" operator="greaterThanOrEqual" dxfId="0">
      <formula>3</formula>
    </cfRule>
    <cfRule type="cellIs" priority="2" operator="equal" dxfId="1">
      <formula>1</formula>
    </cfRule>
  </conditionalFormatting>
  <conditionalFormatting sqref="E3:E92">
    <cfRule type="cellIs" priority="3" operator="greaterThanOrEqual" dxfId="0">
      <formula>3</formula>
    </cfRule>
    <cfRule type="cellIs" priority="4" operator="equal" dxfId="1">
      <formula>1</formula>
    </cfRule>
  </conditionalFormatting>
  <conditionalFormatting sqref="F3:F92">
    <cfRule type="cellIs" priority="5" operator="greaterThanOrEqual" dxfId="0">
      <formula>3</formula>
    </cfRule>
    <cfRule type="cellIs" priority="6" operator="equal" dxfId="1">
      <formula>1</formula>
    </cfRule>
  </conditionalFormatting>
  <conditionalFormatting sqref="G3:G92">
    <cfRule type="cellIs" priority="7" operator="greaterThanOrEqual" dxfId="0">
      <formula>3</formula>
    </cfRule>
    <cfRule type="cellIs" priority="8" operator="equal" dxfId="1">
      <formula>1</formula>
    </cfRule>
  </conditionalFormatting>
  <conditionalFormatting sqref="H3:H9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2026-10-29T19:39:39Z</dcterms:created>
  <dcterms:modified xsi:type="dcterms:W3CDTF">2026-10-29T19:39:40Z</dcterms:modified>
</cp:coreProperties>
</file>