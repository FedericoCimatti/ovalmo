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'Partite'!$A$2:$K$72</definedName>
    <definedName name="_xlnm._FilterDatabase" localSheetId="2" hidden="1">'Pronostici'!$A$2:$D$72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'Classifica'!$A$33:$A$39</f>
            </numRef>
          </cat>
          <val>
            <numRef>
              <f>'Classifica'!$R$33:$R$39</f>
            </numRef>
          </val>
          <smooth val="0"/>
        </ser>
        <ser>
          <idx val="1"/>
          <order val="1"/>
          <tx>
            <strRef>
              <f>'Classifica'!S32</f>
            </strRef>
          </tx>
          <spPr>
            <a:ln w="22000">
              <a:solidFill>
                <a:srgbClr val="3E8E5A"/>
              </a:solidFill>
              <a:prstDash val="solid"/>
            </a:ln>
          </spPr>
          <marker>
            <symbol val="circle"/>
            <size val="6"/>
            <spPr>
              <a:ln>
                <a:prstDash val="solid"/>
              </a:ln>
            </spPr>
          </marker>
          <cat>
            <numRef>
              <f>'Classifica'!$A$33:$A$39</f>
            </numRef>
          </cat>
          <val>
            <numRef>
              <f>'Classifica'!$S$33:$S$39</f>
            </numRef>
          </val>
          <smooth val="0"/>
        </ser>
        <ser>
          <idx val="2"/>
          <order val="2"/>
          <tx>
            <strRef>
              <f>'Classifica'!T32</f>
            </strRef>
          </tx>
          <spPr>
            <a:ln w="22000">
              <a:solidFill>
                <a:srgbClr val="C2622F"/>
              </a:solidFill>
              <a:prstDash val="solid"/>
            </a:ln>
          </spPr>
          <marker>
            <symbol val="circle"/>
            <size val="6"/>
            <spPr>
              <a:ln>
                <a:prstDash val="solid"/>
              </a:ln>
            </spPr>
          </marker>
          <cat>
            <numRef>
              <f>'Classifica'!$A$33:$A$39</f>
            </numRef>
          </cat>
          <val>
            <numRef>
              <f>'Classifica'!$T$33:$T$39</f>
            </numRef>
          </val>
          <smooth val="0"/>
        </ser>
        <ser>
          <idx val="3"/>
          <order val="3"/>
          <tx>
            <strRef>
              <f>'Classifica'!U32</f>
            </strRef>
          </tx>
          <spPr>
            <a:ln w="22000">
              <a:solidFill>
                <a:srgbClr val="6A56A8"/>
              </a:solidFill>
              <a:prstDash val="solid"/>
            </a:ln>
          </spPr>
          <marker>
            <symbol val="circle"/>
            <size val="6"/>
            <spPr>
              <a:ln>
                <a:prstDash val="solid"/>
              </a:ln>
            </spPr>
          </marker>
          <cat>
            <numRef>
              <f>'Classifica'!$A$33:$A$39</f>
            </numRef>
          </cat>
          <val>
            <numRef>
              <f>'Classifica'!$U$33:$U$39</f>
            </numRef>
          </val>
          <smooth val="0"/>
        </ser>
        <ser>
          <idx val="4"/>
          <order val="4"/>
          <tx>
            <strRef>
              <f>'Classifica'!V32</f>
            </strRef>
          </tx>
          <spPr>
            <a:ln w="22000">
              <a:solidFill>
                <a:srgbClr val="B08A1E"/>
              </a:solidFill>
              <a:prstDash val="solid"/>
            </a:ln>
          </spPr>
          <marker>
            <symbol val="circle"/>
            <size val="6"/>
            <spPr>
              <a:ln>
                <a:prstDash val="solid"/>
              </a:ln>
            </spPr>
          </marker>
          <cat>
            <numRef>
              <f>'Classifica'!$A$33:$A$39</f>
            </numRef>
          </cat>
          <val>
            <numRef>
              <f>'Classifica'!$V$33:$V$39</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9"/>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COUNTIF($B$33:$B$39,"Completata")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COUNTIF($B$33:$B$39,"Completata")+COUNTIF($B$33:$B$39,"In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IF($L$5=0,"-",SUMPRODUCT(MAX(($B$33:$B$39="Completata")*$A$33:$A$39)))</f>
        <v/>
      </c>
    </row>
    <row r="8">
      <c r="K8" s="12" t="inlineStr">
        <is>
          <t>Prossima da giocare</t>
        </is>
      </c>
      <c r="L8" s="13">
        <f>IF(SUMPRODUCT(MIN(($B$33:$B$39&lt;&gt;"Completata")*$A$33:$A$39+($B$33:$B$39="Completata")*999))&gt;=999,"-",SUMPRODUCT(MIN(($B$33:$B$39&lt;&gt;"Completata")*$A$33:$A$39+($B$33:$B$39="Completata")*999)))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SUM(Punti!$D$3:$D$72)</f>
        <v/>
      </c>
      <c r="D12" s="25">
        <f>COUNTIF(Punti!$D$3:$D$72,Config!$D$7)+COUNTIF(Punti!$D$3:$D$72,Config!$D$6)</f>
        <v/>
      </c>
      <c r="E12" s="25">
        <f>COUNTIF(Punti!$D$3:$D$72,Config!$D$6)</f>
        <v/>
      </c>
      <c r="F12" s="25">
        <f>SUMPRODUCT(((Pronostici!$E$3:$E$72&lt;&gt;"")+(Pronostici!$F$3:$F$72&lt;&gt;""))*1&gt;0)</f>
        <v/>
      </c>
      <c r="G12" s="26">
        <f>IF($L$6=0,0,$C12/$L$6)</f>
        <v/>
      </c>
      <c r="H12" s="25">
        <f>SUMPRODUCT(($C$33:$C$39=$H$33:$H$39)*($H$33:$H$39&gt;0)*($B$33:$B$39="Completata"))</f>
        <v/>
      </c>
    </row>
    <row r="13" ht="20" customHeight="1">
      <c r="A13" s="27">
        <f>SUMPRODUCT((($C$12:$C$16*1000+$E$12:$E$16)&gt;($C13*1000+$E13))*1)+1</f>
        <v/>
      </c>
      <c r="B13" s="28">
        <f>Config!$A$7</f>
        <v/>
      </c>
      <c r="C13" s="29">
        <f>SUM(Punti!$E$3:$E$72)</f>
        <v/>
      </c>
      <c r="D13" s="30">
        <f>COUNTIF(Punti!$E$3:$E$72,Config!$D$7)+COUNTIF(Punti!$E$3:$E$72,Config!$D$6)</f>
        <v/>
      </c>
      <c r="E13" s="30">
        <f>COUNTIF(Punti!$E$3:$E$72,Config!$D$6)</f>
        <v/>
      </c>
      <c r="F13" s="30">
        <f>SUMPRODUCT(((Pronostici!$H$3:$H$72&lt;&gt;"")+(Pronostici!$I$3:$I$72&lt;&gt;""))*1&gt;0)</f>
        <v/>
      </c>
      <c r="G13" s="31">
        <f>IF($L$6=0,0,$C13/$L$6)</f>
        <v/>
      </c>
      <c r="H13" s="30">
        <f>SUMPRODUCT(($D$33:$D$39=$H$33:$H$39)*($H$33:$H$39&gt;0)*($B$33:$B$39="Completata"))</f>
        <v/>
      </c>
    </row>
    <row r="14" ht="20" customHeight="1">
      <c r="A14" s="22">
        <f>SUMPRODUCT((($C$12:$C$16*1000+$E$12:$E$16)&gt;($C14*1000+$E14))*1)+1</f>
        <v/>
      </c>
      <c r="B14" s="32">
        <f>Config!$A$8</f>
        <v/>
      </c>
      <c r="C14" s="24">
        <f>SUM(Punti!$F$3:$F$72)</f>
        <v/>
      </c>
      <c r="D14" s="25">
        <f>COUNTIF(Punti!$F$3:$F$72,Config!$D$7)+COUNTIF(Punti!$F$3:$F$72,Config!$D$6)</f>
        <v/>
      </c>
      <c r="E14" s="25">
        <f>COUNTIF(Punti!$F$3:$F$72,Config!$D$6)</f>
        <v/>
      </c>
      <c r="F14" s="25">
        <f>SUMPRODUCT(((Pronostici!$K$3:$K$72&lt;&gt;"")+(Pronostici!$L$3:$L$72&lt;&gt;""))*1&gt;0)</f>
        <v/>
      </c>
      <c r="G14" s="26">
        <f>IF($L$6=0,0,$C14/$L$6)</f>
        <v/>
      </c>
      <c r="H14" s="25">
        <f>SUMPRODUCT(($E$33:$E$39=$H$33:$H$39)*($H$33:$H$39&gt;0)*($B$33:$B$39="Completata"))</f>
        <v/>
      </c>
    </row>
    <row r="15" ht="20" customHeight="1">
      <c r="A15" s="27">
        <f>SUMPRODUCT((($C$12:$C$16*1000+$E$12:$E$16)&gt;($C15*1000+$E15))*1)+1</f>
        <v/>
      </c>
      <c r="B15" s="33">
        <f>Config!$A$9</f>
        <v/>
      </c>
      <c r="C15" s="29">
        <f>SUM(Punti!$G$3:$G$72)</f>
        <v/>
      </c>
      <c r="D15" s="30">
        <f>COUNTIF(Punti!$G$3:$G$72,Config!$D$7)+COUNTIF(Punti!$G$3:$G$72,Config!$D$6)</f>
        <v/>
      </c>
      <c r="E15" s="30">
        <f>COUNTIF(Punti!$G$3:$G$72,Config!$D$6)</f>
        <v/>
      </c>
      <c r="F15" s="30">
        <f>SUMPRODUCT(((Pronostici!$N$3:$N$72&lt;&gt;"")+(Pronostici!$O$3:$O$72&lt;&gt;""))*1&gt;0)</f>
        <v/>
      </c>
      <c r="G15" s="31">
        <f>IF($L$6=0,0,$C15/$L$6)</f>
        <v/>
      </c>
      <c r="H15" s="30">
        <f>SUMPRODUCT(($F$33:$F$39=$H$33:$H$39)*($H$33:$H$39&gt;0)*($B$33:$B$39="Completata"))</f>
        <v/>
      </c>
    </row>
    <row r="16" ht="20" customHeight="1">
      <c r="A16" s="22">
        <f>SUMPRODUCT((($C$12:$C$16*1000+$E$12:$E$16)&gt;($C16*1000+$E16))*1)+1</f>
        <v/>
      </c>
      <c r="B16" s="34">
        <f>Config!$A$10</f>
        <v/>
      </c>
      <c r="C16" s="24">
        <f>SUM(Punti!$H$3:$H$72)</f>
        <v/>
      </c>
      <c r="D16" s="25">
        <f>COUNTIF(Punti!$H$3:$H$72,Config!$D$7)+COUNTIF(Punti!$H$3:$H$72,Config!$D$6)</f>
        <v/>
      </c>
      <c r="E16" s="25">
        <f>COUNTIF(Punti!$H$3:$H$72,Config!$D$6)</f>
        <v/>
      </c>
      <c r="F16" s="25">
        <f>SUMPRODUCT(((Pronostici!$Q$3:$Q$72&lt;&gt;"")+(Pronostici!$R$3:$R$72&lt;&gt;""))*1&gt;0)</f>
        <v/>
      </c>
      <c r="G16" s="26">
        <f>IF($L$6=0,0,$C16/$L$6)</f>
        <v/>
      </c>
      <c r="H16" s="25">
        <f>SUMPRODUCT(($G$33:$G$39=$H$33:$H$39)*($H$33:$H$39&gt;0)*($B$33:$B$39="Completata"))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IF($L$7="-","-",IFERROR(INDEX($C$33:$C$39,MATCH($L$7,$A$33:$A$39,0)),"-"))</f>
        <v/>
      </c>
      <c r="D20" s="40">
        <f>IF($L$7="-","",IF(IFERROR(INDEX($C$33:$C$39,MATCH($L$7,$A$33:$A$39,0)),0)=IFERROR(INDEX($H$33:$H$39,MATCH($L$7,$A$33:$A$39,0)),-1),"RE DELLA GIORNATA",""))</f>
        <v/>
      </c>
      <c r="E20" s="41" t="n"/>
      <c r="K20" s="42">
        <f>IFERROR(INDEX(Partite!$E$3:$E$72,MATCH("G"&amp;TEXT($L$8,"00")&amp;"-"&amp;TEXT(1,"00"),Partite!$A$3:$A$72,0))&amp;"   -   "&amp;INDEX(Partite!$F$3:$F$72,MATCH("G"&amp;TEXT($L$8,"00")&amp;"-"&amp;TEXT(1,"00"),Partite!$A$3:$A$72,0)),"-")</f>
        <v/>
      </c>
      <c r="L20" s="43" t="n"/>
      <c r="M20" s="43" t="n"/>
      <c r="N20" s="44">
        <f>Config!$A$6</f>
        <v/>
      </c>
      <c r="O20" s="45">
        <f>IF($L$8="-","-",SUMPRODUCT((Pronostici!$B$3:$B$72=$L$8)*(((Pronostici!$E$3:$E$72&lt;&gt;"")+(Pronostici!$F$3:$F$72&lt;&gt;""))&gt;0))&amp;"/10")</f>
        <v/>
      </c>
    </row>
    <row r="21">
      <c r="B21" s="28">
        <f>Config!$A$7</f>
        <v/>
      </c>
      <c r="C21" s="24">
        <f>IF($L$7="-","-",IFERROR(INDEX($D$33:$D$39,MATCH($L$7,$A$33:$A$39,0)),"-"))</f>
        <v/>
      </c>
      <c r="D21" s="40">
        <f>IF($L$7="-","",IF(IFERROR(INDEX($D$33:$D$39,MATCH($L$7,$A$33:$A$39,0)),0)=IFERROR(INDEX($H$33:$H$39,MATCH($L$7,$A$33:$A$39,0)),-1),"RE DELLA GIORNATA",""))</f>
        <v/>
      </c>
      <c r="E21" s="41" t="n"/>
      <c r="K21" s="46">
        <f>IFERROR(INDEX(Partite!$E$3:$E$72,MATCH("G"&amp;TEXT($L$8,"00")&amp;"-"&amp;TEXT(2,"00"),Partite!$A$3:$A$72,0))&amp;"   -   "&amp;INDEX(Partite!$F$3:$F$72,MATCH("G"&amp;TEXT($L$8,"00")&amp;"-"&amp;TEXT(2,"00"),Partite!$A$3:$A$72,0)),"-")</f>
        <v/>
      </c>
      <c r="L21" s="47" t="n"/>
      <c r="M21" s="47" t="n"/>
      <c r="N21" s="48">
        <f>Config!$A$7</f>
        <v/>
      </c>
      <c r="O21" s="45">
        <f>IF($L$8="-","-",SUMPRODUCT((Pronostici!$B$3:$B$72=$L$8)*(((Pronostici!$H$3:$H$72&lt;&gt;"")+(Pronostici!$I$3:$I$72&lt;&gt;""))&gt;0))&amp;"/10")</f>
        <v/>
      </c>
    </row>
    <row r="22">
      <c r="B22" s="32">
        <f>Config!$A$8</f>
        <v/>
      </c>
      <c r="C22" s="24">
        <f>IF($L$7="-","-",IFERROR(INDEX($E$33:$E$39,MATCH($L$7,$A$33:$A$39,0)),"-"))</f>
        <v/>
      </c>
      <c r="D22" s="40">
        <f>IF($L$7="-","",IF(IFERROR(INDEX($E$33:$E$39,MATCH($L$7,$A$33:$A$39,0)),0)=IFERROR(INDEX($H$33:$H$39,MATCH($L$7,$A$33:$A$39,0)),-1),"RE DELLA GIORNATA",""))</f>
        <v/>
      </c>
      <c r="E22" s="41" t="n"/>
      <c r="K22" s="42">
        <f>IFERROR(INDEX(Partite!$E$3:$E$72,MATCH("G"&amp;TEXT($L$8,"00")&amp;"-"&amp;TEXT(3,"00"),Partite!$A$3:$A$72,0))&amp;"   -   "&amp;INDEX(Partite!$F$3:$F$72,MATCH("G"&amp;TEXT($L$8,"00")&amp;"-"&amp;TEXT(3,"00"),Partite!$A$3:$A$72,0)),"-")</f>
        <v/>
      </c>
      <c r="L22" s="43" t="n"/>
      <c r="M22" s="43" t="n"/>
      <c r="N22" s="49">
        <f>Config!$A$8</f>
        <v/>
      </c>
      <c r="O22" s="45">
        <f>IF($L$8="-","-",SUMPRODUCT((Pronostici!$B$3:$B$72=$L$8)*(((Pronostici!$K$3:$K$72&lt;&gt;"")+(Pronostici!$L$3:$L$72&lt;&gt;""))&gt;0))&amp;"/10")</f>
        <v/>
      </c>
    </row>
    <row r="23">
      <c r="B23" s="33">
        <f>Config!$A$9</f>
        <v/>
      </c>
      <c r="C23" s="24">
        <f>IF($L$7="-","-",IFERROR(INDEX($F$33:$F$39,MATCH($L$7,$A$33:$A$39,0)),"-"))</f>
        <v/>
      </c>
      <c r="D23" s="40">
        <f>IF($L$7="-","",IF(IFERROR(INDEX($F$33:$F$39,MATCH($L$7,$A$33:$A$39,0)),0)=IFERROR(INDEX($H$33:$H$39,MATCH($L$7,$A$33:$A$39,0)),-1),"RE DELLA GIORNATA",""))</f>
        <v/>
      </c>
      <c r="E23" s="41" t="n"/>
      <c r="K23" s="46">
        <f>IFERROR(INDEX(Partite!$E$3:$E$72,MATCH("G"&amp;TEXT($L$8,"00")&amp;"-"&amp;TEXT(4,"00"),Partite!$A$3:$A$72,0))&amp;"   -   "&amp;INDEX(Partite!$F$3:$F$72,MATCH("G"&amp;TEXT($L$8,"00")&amp;"-"&amp;TEXT(4,"00"),Partite!$A$3:$A$72,0)),"-")</f>
        <v/>
      </c>
      <c r="L23" s="47" t="n"/>
      <c r="M23" s="47" t="n"/>
      <c r="N23" s="50">
        <f>Config!$A$9</f>
        <v/>
      </c>
      <c r="O23" s="45">
        <f>IF($L$8="-","-",SUMPRODUCT((Pronostici!$B$3:$B$72=$L$8)*(((Pronostici!$N$3:$N$72&lt;&gt;"")+(Pronostici!$O$3:$O$72&lt;&gt;""))&gt;0))&amp;"/10")</f>
        <v/>
      </c>
    </row>
    <row r="24">
      <c r="B24" s="34">
        <f>Config!$A$10</f>
        <v/>
      </c>
      <c r="C24" s="24">
        <f>IF($L$7="-","-",IFERROR(INDEX($G$33:$G$39,MATCH($L$7,$A$33:$A$39,0)),"-"))</f>
        <v/>
      </c>
      <c r="D24" s="40">
        <f>IF($L$7="-","",IF(IFERROR(INDEX($G$33:$G$39,MATCH($L$7,$A$33:$A$39,0)),0)=IFERROR(INDEX($H$33:$H$39,MATCH($L$7,$A$33:$A$39,0)),-1),"RE DELLA GIORNATA",""))</f>
        <v/>
      </c>
      <c r="E24" s="41" t="n"/>
      <c r="K24" s="42">
        <f>IFERROR(INDEX(Partite!$E$3:$E$72,MATCH("G"&amp;TEXT($L$8,"00")&amp;"-"&amp;TEXT(5,"00"),Partite!$A$3:$A$72,0))&amp;"   -   "&amp;INDEX(Partite!$F$3:$F$72,MATCH("G"&amp;TEXT($L$8,"00")&amp;"-"&amp;TEXT(5,"00"),Partite!$A$3:$A$72,0)),"-")</f>
        <v/>
      </c>
      <c r="L24" s="43" t="n"/>
      <c r="M24" s="43" t="n"/>
      <c r="N24" s="51">
        <f>Config!$A$10</f>
        <v/>
      </c>
      <c r="O24" s="45">
        <f>IF($L$8="-","-",SUMPRODUCT((Pronostici!$B$3:$B$72=$L$8)*(((Pronostici!$Q$3:$Q$72&lt;&gt;"")+(Pronostici!$R$3:$R$72&lt;&gt;""))&gt;0))&amp;"/10")</f>
        <v/>
      </c>
    </row>
    <row r="25">
      <c r="K25" s="46">
        <f>IFERROR(INDEX(Partite!$E$3:$E$72,MATCH("G"&amp;TEXT($L$8,"00")&amp;"-"&amp;TEXT(6,"00"),Partite!$A$3:$A$72,0))&amp;"   -   "&amp;INDEX(Partite!$F$3:$F$72,MATCH("G"&amp;TEXT($L$8,"00")&amp;"-"&amp;TEXT(6,"00"),Partite!$A$3:$A$72,0)),"-")</f>
        <v/>
      </c>
      <c r="L25" s="47" t="n"/>
      <c r="M25" s="47" t="n"/>
      <c r="N25" s="35" t="inlineStr">
        <is>
          <t>chi e' sotto 10 non ha finito</t>
        </is>
      </c>
    </row>
    <row r="26">
      <c r="K26" s="42">
        <f>IFERROR(INDEX(Partite!$E$3:$E$72,MATCH("G"&amp;TEXT($L$8,"00")&amp;"-"&amp;TEXT(7,"00"),Partite!$A$3:$A$72,0))&amp;"   -   "&amp;INDEX(Partite!$F$3:$F$72,MATCH("G"&amp;TEXT($L$8,"00")&amp;"-"&amp;TEXT(7,"00"),Partite!$A$3:$A$72,0)),"-")</f>
        <v/>
      </c>
      <c r="L26" s="43" t="n"/>
      <c r="M26" s="43" t="n"/>
    </row>
    <row r="27">
      <c r="K27" s="46">
        <f>IFERROR(INDEX(Partite!$E$3:$E$72,MATCH("G"&amp;TEXT($L$8,"00")&amp;"-"&amp;TEXT(8,"00"),Partite!$A$3:$A$72,0))&amp;"   -   "&amp;INDEX(Partite!$F$3:$F$72,MATCH("G"&amp;TEXT($L$8,"00")&amp;"-"&amp;TEXT(8,"00"),Partite!$A$3:$A$72,0)),"-")</f>
        <v/>
      </c>
      <c r="L27" s="47" t="n"/>
      <c r="M27" s="47" t="n"/>
    </row>
    <row r="28">
      <c r="K28" s="42">
        <f>IFERROR(INDEX(Partite!$E$3:$E$72,MATCH("G"&amp;TEXT($L$8,"00")&amp;"-"&amp;TEXT(9,"00"),Partite!$A$3:$A$72,0))&amp;"   -   "&amp;INDEX(Partite!$F$3:$F$72,MATCH("G"&amp;TEXT($L$8,"00")&amp;"-"&amp;TEXT(9,"00"),Partite!$A$3:$A$72,0)),"-")</f>
        <v/>
      </c>
      <c r="L28" s="43" t="n"/>
      <c r="M28" s="43" t="n"/>
    </row>
    <row r="29">
      <c r="K29" s="46">
        <f>IFERROR(INDEX(Partite!$E$3:$E$72,MATCH("G"&amp;TEXT($L$8,"00")&amp;"-"&amp;TEXT(10,"00"),Partite!$A$3:$A$72,0))&amp;"   -   "&amp;INDEX(Partite!$F$3:$F$72,MATCH("G"&amp;TEXT($L$8,"00")&amp;"-"&amp;TEXT(10,"00"),Partite!$A$3:$A$72,0)),"-")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IF(COUNTIFS(Partite!$B$3:$B$72,$A33,Partite!$E$3:$E$72,"&lt;&gt;")=0,"Calendario mancante",IF(COUNTIFS(Partite!$B$3:$B$72,$A33,Partite!$K$3:$K$72,"Giocata")=0,"Non giocata",IF(COUNTIFS(Partite!$B$3:$B$72,$A33,Partite!$K$3:$K$72,"Giocata")=COUNTIFS(Partite!$B$3:$B$72,$A33,Partite!$E$3:$E$72,"&lt;&gt;"),"Completata","In corso")))</f>
        <v/>
      </c>
      <c r="C33" s="25">
        <f>SUMIF(Punti!$B$3:$B$72,$A33,Punti!$D$3:$D$72)</f>
        <v/>
      </c>
      <c r="D33" s="25">
        <f>SUMIF(Punti!$B$3:$B$72,$A33,Punti!$E$3:$E$72)</f>
        <v/>
      </c>
      <c r="E33" s="25">
        <f>SUMIF(Punti!$B$3:$B$72,$A33,Punti!$F$3:$F$72)</f>
        <v/>
      </c>
      <c r="F33" s="25">
        <f>SUMIF(Punti!$B$3:$B$72,$A33,Punti!$G$3:$G$72)</f>
        <v/>
      </c>
      <c r="G33" s="25">
        <f>SUMIF(Punti!$B$3:$B$72,$A33,Punti!$H$3:$H$72)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IF(COUNTIFS(Partite!$B$3:$B$72,$A34,Partite!$E$3:$E$72,"&lt;&gt;")=0,"Calendario mancante",IF(COUNTIFS(Partite!$B$3:$B$72,$A34,Partite!$K$3:$K$72,"Giocata")=0,"Non giocata",IF(COUNTIFS(Partite!$B$3:$B$72,$A34,Partite!$K$3:$K$72,"Giocata")=COUNTIFS(Partite!$B$3:$B$72,$A34,Partite!$E$3:$E$72,"&lt;&gt;"),"Completata","In corso")))</f>
        <v/>
      </c>
      <c r="C34" s="30">
        <f>SUMIF(Punti!$B$3:$B$72,$A34,Punti!$D$3:$D$72)</f>
        <v/>
      </c>
      <c r="D34" s="30">
        <f>SUMIF(Punti!$B$3:$B$72,$A34,Punti!$E$3:$E$72)</f>
        <v/>
      </c>
      <c r="E34" s="30">
        <f>SUMIF(Punti!$B$3:$B$72,$A34,Punti!$F$3:$F$72)</f>
        <v/>
      </c>
      <c r="F34" s="30">
        <f>SUMIF(Punti!$B$3:$B$72,$A34,Punti!$G$3:$G$72)</f>
        <v/>
      </c>
      <c r="G34" s="30">
        <f>SUMIF(Punti!$B$3:$B$72,$A34,Punti!$H$3:$H$72)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IF(COUNTIFS(Partite!$B$3:$B$72,$A35,Partite!$E$3:$E$72,"&lt;&gt;")=0,"Calendario mancante",IF(COUNTIFS(Partite!$B$3:$B$72,$A35,Partite!$K$3:$K$72,"Giocata")=0,"Non giocata",IF(COUNTIFS(Partite!$B$3:$B$72,$A35,Partite!$K$3:$K$72,"Giocata")=COUNTIFS(Partite!$B$3:$B$72,$A35,Partite!$E$3:$E$72,"&lt;&gt;"),"Completata","In corso")))</f>
        <v/>
      </c>
      <c r="C35" s="25">
        <f>SUMIF(Punti!$B$3:$B$72,$A35,Punti!$D$3:$D$72)</f>
        <v/>
      </c>
      <c r="D35" s="25">
        <f>SUMIF(Punti!$B$3:$B$72,$A35,Punti!$E$3:$E$72)</f>
        <v/>
      </c>
      <c r="E35" s="25">
        <f>SUMIF(Punti!$B$3:$B$72,$A35,Punti!$F$3:$F$72)</f>
        <v/>
      </c>
      <c r="F35" s="25">
        <f>SUMIF(Punti!$B$3:$B$72,$A35,Punti!$G$3:$G$72)</f>
        <v/>
      </c>
      <c r="G35" s="25">
        <f>SUMIF(Punti!$B$3:$B$72,$A35,Punti!$H$3:$H$72)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IF(COUNTIFS(Partite!$B$3:$B$72,$A36,Partite!$E$3:$E$72,"&lt;&gt;")=0,"Calendario mancante",IF(COUNTIFS(Partite!$B$3:$B$72,$A36,Partite!$K$3:$K$72,"Giocata")=0,"Non giocata",IF(COUNTIFS(Partite!$B$3:$B$72,$A36,Partite!$K$3:$K$72,"Giocata")=COUNTIFS(Partite!$B$3:$B$72,$A36,Partite!$E$3:$E$72,"&lt;&gt;"),"Completata","In corso")))</f>
        <v/>
      </c>
      <c r="C36" s="30">
        <f>SUMIF(Punti!$B$3:$B$72,$A36,Punti!$D$3:$D$72)</f>
        <v/>
      </c>
      <c r="D36" s="30">
        <f>SUMIF(Punti!$B$3:$B$72,$A36,Punti!$E$3:$E$72)</f>
        <v/>
      </c>
      <c r="E36" s="30">
        <f>SUMIF(Punti!$B$3:$B$72,$A36,Punti!$F$3:$F$72)</f>
        <v/>
      </c>
      <c r="F36" s="30">
        <f>SUMIF(Punti!$B$3:$B$72,$A36,Punti!$G$3:$G$72)</f>
        <v/>
      </c>
      <c r="G36" s="30">
        <f>SUMIF(Punti!$B$3:$B$72,$A36,Punti!$H$3:$H$72)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IF(COUNTIFS(Partite!$B$3:$B$72,$A37,Partite!$E$3:$E$72,"&lt;&gt;")=0,"Calendario mancante",IF(COUNTIFS(Partite!$B$3:$B$72,$A37,Partite!$K$3:$K$72,"Giocata")=0,"Non giocata",IF(COUNTIFS(Partite!$B$3:$B$72,$A37,Partite!$K$3:$K$72,"Giocata")=COUNTIFS(Partite!$B$3:$B$72,$A37,Partite!$E$3:$E$72,"&lt;&gt;"),"Completata","In corso")))</f>
        <v/>
      </c>
      <c r="C37" s="25">
        <f>SUMIF(Punti!$B$3:$B$72,$A37,Punti!$D$3:$D$72)</f>
        <v/>
      </c>
      <c r="D37" s="25">
        <f>SUMIF(Punti!$B$3:$B$72,$A37,Punti!$E$3:$E$72)</f>
        <v/>
      </c>
      <c r="E37" s="25">
        <f>SUMIF(Punti!$B$3:$B$72,$A37,Punti!$F$3:$F$72)</f>
        <v/>
      </c>
      <c r="F37" s="25">
        <f>SUMIF(Punti!$B$3:$B$72,$A37,Punti!$G$3:$G$72)</f>
        <v/>
      </c>
      <c r="G37" s="25">
        <f>SUMIF(Punti!$B$3:$B$72,$A37,Punti!$H$3:$H$72)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IF(COUNTIFS(Partite!$B$3:$B$72,$A38,Partite!$E$3:$E$72,"&lt;&gt;")=0,"Calendario mancante",IF(COUNTIFS(Partite!$B$3:$B$72,$A38,Partite!$K$3:$K$72,"Giocata")=0,"Non giocata",IF(COUNTIFS(Partite!$B$3:$B$72,$A38,Partite!$K$3:$K$72,"Giocata")=COUNTIFS(Partite!$B$3:$B$72,$A38,Partite!$E$3:$E$72,"&lt;&gt;"),"Completata","In corso")))</f>
        <v/>
      </c>
      <c r="C38" s="30">
        <f>SUMIF(Punti!$B$3:$B$72,$A38,Punti!$D$3:$D$72)</f>
        <v/>
      </c>
      <c r="D38" s="30">
        <f>SUMIF(Punti!$B$3:$B$72,$A38,Punti!$E$3:$E$72)</f>
        <v/>
      </c>
      <c r="E38" s="30">
        <f>SUMIF(Punti!$B$3:$B$72,$A38,Punti!$F$3:$F$72)</f>
        <v/>
      </c>
      <c r="F38" s="30">
        <f>SUMIF(Punti!$B$3:$B$72,$A38,Punti!$G$3:$G$72)</f>
        <v/>
      </c>
      <c r="G38" s="30">
        <f>SUMIF(Punti!$B$3:$B$72,$A38,Punti!$H$3:$H$72)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IF(COUNTIFS(Partite!$B$3:$B$72,$A39,Partite!$E$3:$E$72,"&lt;&gt;")=0,"Calendario mancante",IF(COUNTIFS(Partite!$B$3:$B$72,$A39,Partite!$K$3:$K$72,"Giocata")=0,"Non giocata",IF(COUNTIFS(Partite!$B$3:$B$72,$A39,Partite!$K$3:$K$72,"Giocata")=COUNTIFS(Partite!$B$3:$B$72,$A39,Partite!$E$3:$E$72,"&lt;&gt;"),"Completata","In corso")))</f>
        <v/>
      </c>
      <c r="C39" s="25">
        <f>SUMIF(Punti!$B$3:$B$72,$A39,Punti!$D$3:$D$72)</f>
        <v/>
      </c>
      <c r="D39" s="25">
        <f>SUMIF(Punti!$B$3:$B$72,$A39,Punti!$E$3:$E$72)</f>
        <v/>
      </c>
      <c r="E39" s="25">
        <f>SUMIF(Punti!$B$3:$B$72,$A39,Punti!$F$3:$F$72)</f>
        <v/>
      </c>
      <c r="F39" s="25">
        <f>SUMIF(Punti!$B$3:$B$72,$A39,Punti!$G$3:$G$72)</f>
        <v/>
      </c>
      <c r="G39" s="25">
        <f>SUMIF(Punti!$B$3:$B$72,$A39,Punti!$H$3:$H$72)</f>
        <v/>
      </c>
      <c r="H39" s="61">
        <f>MAX($C39:$G39)</f>
        <v/>
      </c>
      <c r="I39" s="62">
        <f>IF($H39&lt;=0,"-",INDEX($C$32:$G$32,MATCH($H39,$C39:$G39,0))&amp;IF(COUNTIF($C39:$G39,$H39)&gt;1," (a pari)","")&amp;IF($B39="Completata",""," - in corso"))</f>
        <v/>
      </c>
      <c r="R39" s="63">
        <f>R38+C39</f>
        <v/>
      </c>
      <c r="S39" s="63">
        <f>S38+D39</f>
        <v/>
      </c>
      <c r="T39" s="63">
        <f>T38+E39</f>
        <v/>
      </c>
      <c r="U39" s="63">
        <f>U38+F39</f>
        <v/>
      </c>
      <c r="V39" s="63">
        <f>V38+G39</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9">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7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sheetData>
  <autoFilter ref="A2:K72"/>
  <mergeCells count="3">
    <mergeCell ref="G1:H1"/>
    <mergeCell ref="A1:F1"/>
    <mergeCell ref="I1:K1"/>
  </mergeCells>
  <conditionalFormatting sqref="K3:K7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7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sheetData>
  <autoFilter ref="A2:D7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H3 H4 H5 H6 H7 H8 H9 H10 H11 H12 H13 H14 H15 H16 H17 H18 H19 H20 H21 H22 H23 H24 H25 H26 H27 H28 H29 H30 H31 H32 H33 H34 H35 H36 H37 H38 H39 H40 H41 H42 H43 H44 H45 H46 H47 H48 H49 H50 H51 H52 H53 H54 H55 H56 H57 H58 H59 H60 H61 H62 H63 H64 H65 H66 H67 H68 H69 H70 H71 H72 K3 K4 K5 K6 K7 K8 K9 K10 K11 K12 K13 K14 K15 K16 K17 K18 K19 K20 K21 K22 K23 K24 K25 K26 K27 K28 K29 K30 K31 K32 K33 K34 K35 K36 K37 K38 K39 K40 K41 K42 K43 K44 K45 K46 K47 K48 K49 K50 K51 K52 K53 K54 K55 K56 K57 K58 K59 K60 K61 K62 K63 K64 K65 K66 K67 K68 K69 K70 K71 K72 N3 N4 N5 N6 N7 N8 N9 N10 N11 N12 N13 N14 N15 N16 N17 N18 N19 N20 N21 N22 N23 N24 N25 N26 N27 N28 N29 N30 N31 N32 N33 N34 N35 N36 N37 N38 N39 N40 N41 N42 N43 N44 N45 N46 N47 N48 N49 N50 N51 N52 N53 N54 N55 N56 N57 N58 N59 N60 N61 N62 N63 N64 N65 N66 N67 N68 N69 N70 N71 N72 Q3 Q4 Q5 Q6 Q7 Q8 Q9 Q10 Q11 Q12 Q13 Q14 Q15 Q16 Q17 Q18 Q19 Q20 Q21 Q22 Q23 Q24 Q25 Q26 Q27 Q28 Q29 Q30 Q31 Q32 Q33 Q34 Q35 Q36 Q37 Q38 Q39 Q40 Q41 Q42 Q43 Q44 Q45 Q46 Q47 Q48 Q49 Q50 Q51 Q52 Q53 Q54 Q55 Q56 Q57 Q58 Q59 Q60 Q61 Q62 Q63 Q64 Q65 Q66 Q67 Q68 Q69 Q70 Q71 Q7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7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sheetData>
  <mergeCells count="1">
    <mergeCell ref="A1:H1"/>
  </mergeCells>
  <conditionalFormatting sqref="D3:D72">
    <cfRule type="cellIs" priority="1" operator="greaterThanOrEqual" dxfId="0">
      <formula>3</formula>
    </cfRule>
    <cfRule type="cellIs" priority="2" operator="equal" dxfId="1">
      <formula>1</formula>
    </cfRule>
  </conditionalFormatting>
  <conditionalFormatting sqref="E3:E72">
    <cfRule type="cellIs" priority="3" operator="greaterThanOrEqual" dxfId="0">
      <formula>3</formula>
    </cfRule>
    <cfRule type="cellIs" priority="4" operator="equal" dxfId="1">
      <formula>1</formula>
    </cfRule>
  </conditionalFormatting>
  <conditionalFormatting sqref="F3:F72">
    <cfRule type="cellIs" priority="5" operator="greaterThanOrEqual" dxfId="0">
      <formula>3</formula>
    </cfRule>
    <cfRule type="cellIs" priority="6" operator="equal" dxfId="1">
      <formula>1</formula>
    </cfRule>
  </conditionalFormatting>
  <conditionalFormatting sqref="G3:G72">
    <cfRule type="cellIs" priority="7" operator="greaterThanOrEqual" dxfId="0">
      <formula>3</formula>
    </cfRule>
    <cfRule type="cellIs" priority="8" operator="equal" dxfId="1">
      <formula>1</formula>
    </cfRule>
  </conditionalFormatting>
  <conditionalFormatting sqref="H3:H7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2026-10-16T17:29:40Z</dcterms:created>
  <dcterms:modified xsi:type="dcterms:W3CDTF">2026-10-16T17:29:40Z</dcterms:modified>
</cp:coreProperties>
</file>