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ca" sheetId="1" state="visible" r:id="rId1"/>
    <sheet name="Partite" sheetId="2" state="visible" r:id="rId2"/>
    <sheet name="Pronostici" sheetId="3" state="visible" r:id="rId3"/>
    <sheet name="Punti" sheetId="4" state="visible" r:id="rId4"/>
    <sheet name="Config" sheetId="5" state="visible" r:id="rId5"/>
  </sheets>
  <definedNames>
    <definedName name="_xlnm._FilterDatabase" localSheetId="1" hidden="1">'Partite'!$A$2:$K$82</definedName>
    <definedName name="_xlnm._FilterDatabase" localSheetId="2" hidden="1">'Pronostici'!$A$2:$D$82</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Arial"/>
      <b val="1"/>
      <color rgb="00FFFFFF"/>
      <sz val="24"/>
    </font>
    <font>
      <name val="Arial"/>
      <b val="1"/>
      <color rgb="00FFFFFF"/>
      <sz val="11"/>
    </font>
    <font>
      <name val="Arial"/>
      <b val="1"/>
      <color rgb="000F2544"/>
      <sz val="9"/>
    </font>
    <font>
      <name val="Arial"/>
      <b val="1"/>
      <color rgb="008A6D1F"/>
      <sz val="9"/>
    </font>
    <font>
      <name val="Arial"/>
      <b val="1"/>
      <color rgb="000F2544"/>
      <sz val="15"/>
    </font>
    <font>
      <name val="Arial"/>
      <color rgb="008A6D1F"/>
      <sz val="9"/>
    </font>
    <font>
      <name val="Arial"/>
      <b val="1"/>
      <color rgb="005A6472"/>
      <sz val="9"/>
    </font>
    <font>
      <name val="Arial"/>
      <color rgb="005A6472"/>
      <sz val="9"/>
    </font>
    <font>
      <name val="Arial"/>
      <b val="1"/>
      <color rgb="008A5A34"/>
      <sz val="9"/>
    </font>
    <font>
      <name val="Arial"/>
      <color rgb="008A5A34"/>
      <sz val="9"/>
    </font>
    <font>
      <name val="Arial"/>
      <color rgb="008A94A6"/>
      <sz val="9"/>
    </font>
    <font>
      <name val="Arial"/>
      <b val="1"/>
      <color rgb="000F2544"/>
      <sz val="12"/>
    </font>
    <font>
      <name val="Arial"/>
      <b val="1"/>
      <color rgb="000F2544"/>
      <sz val="13"/>
    </font>
    <font>
      <name val="Arial"/>
      <b val="1"/>
      <color rgb="00FFFFFF"/>
      <sz val="9"/>
    </font>
    <font>
      <name val="Arial"/>
      <b val="1"/>
      <color rgb="001A1A1A"/>
      <sz val="10"/>
    </font>
    <font>
      <name val="Arial"/>
      <b val="1"/>
      <color rgb="000F2544"/>
      <sz val="11"/>
    </font>
    <font>
      <name val="Arial"/>
      <color rgb="001A1A1A"/>
      <sz val="10"/>
    </font>
    <font>
      <name val="Arial"/>
      <i val="1"/>
      <color rgb="008A94A6"/>
      <sz val="8"/>
    </font>
    <font>
      <name val="Arial"/>
      <b val="1"/>
      <color rgb="008A6D1F"/>
      <sz val="11"/>
    </font>
    <font>
      <name val="Arial"/>
      <b val="1"/>
      <color rgb="008A6D1F"/>
      <sz val="8"/>
    </font>
    <font>
      <name val="Arial"/>
      <b val="1"/>
      <color rgb="001A1A1A"/>
      <sz val="9"/>
    </font>
    <font>
      <name val="Arial"/>
      <b val="1"/>
      <color rgb="008A94A6"/>
      <sz val="8"/>
    </font>
    <font>
      <name val="Arial"/>
      <b val="1"/>
      <color rgb="008A6D1F"/>
      <sz val="10"/>
    </font>
    <font>
      <name val="Arial"/>
      <color rgb="008A94A6"/>
      <sz val="8"/>
    </font>
    <font>
      <name val="Arial"/>
      <b val="1"/>
      <color rgb="000F2544"/>
      <sz val="10"/>
    </font>
    <font>
      <name val="Arial"/>
      <b val="1"/>
      <color rgb="00FFFFFF"/>
      <sz val="10"/>
    </font>
    <font>
      <name val="Arial"/>
      <color rgb="008A94A6"/>
      <sz val="10"/>
    </font>
    <font>
      <name val="Arial"/>
      <b val="1"/>
      <color rgb="001B4DB1"/>
      <sz val="10"/>
    </font>
    <font>
      <name val="Arial"/>
      <b val="1"/>
      <color rgb="000F2544"/>
      <sz val="8"/>
    </font>
    <font>
      <name val="Arial"/>
      <b val="1"/>
      <color rgb="00FFFFFF"/>
      <sz val="15"/>
    </font>
    <font>
      <name val="Arial"/>
      <b val="1"/>
      <color rgb="001B4DB1"/>
      <sz val="11"/>
    </font>
    <font>
      <name val="Arial"/>
      <b val="1"/>
      <color rgb="001B4DB1"/>
      <sz val="9"/>
    </font>
    <font>
      <name val="Arial"/>
      <i val="1"/>
      <color rgb="008A94A6"/>
      <sz val="9"/>
    </font>
  </fonts>
  <fills count="19">
    <fill>
      <patternFill/>
    </fill>
    <fill>
      <patternFill patternType="gray125"/>
    </fill>
    <fill>
      <patternFill patternType="solid">
        <fgColor rgb="000F2544"/>
      </patternFill>
    </fill>
    <fill>
      <patternFill patternType="solid">
        <fgColor rgb="00C8A24A"/>
      </patternFill>
    </fill>
    <fill>
      <patternFill patternType="solid">
        <fgColor rgb="00FFF3CF"/>
      </patternFill>
    </fill>
    <fill>
      <patternFill patternType="solid">
        <fgColor rgb="00EDF0F4"/>
      </patternFill>
    </fill>
    <fill>
      <patternFill patternType="solid">
        <fgColor rgb="00F7E7DA"/>
      </patternFill>
    </fill>
    <fill>
      <patternFill patternType="solid">
        <fgColor rgb="00F4F6FA"/>
      </patternFill>
    </fill>
    <fill>
      <patternFill patternType="solid">
        <fgColor rgb="001B3A63"/>
      </patternFill>
    </fill>
    <fill>
      <patternFill patternType="solid">
        <fgColor rgb="00FFFFFF"/>
      </patternFill>
    </fill>
    <fill>
      <patternFill patternType="solid">
        <fgColor rgb="00DCE9F7"/>
      </patternFill>
    </fill>
    <fill>
      <patternFill patternType="solid">
        <fgColor rgb="00DEF0E4"/>
      </patternFill>
    </fill>
    <fill>
      <patternFill patternType="solid">
        <fgColor rgb="00FBE3D8"/>
      </patternFill>
    </fill>
    <fill>
      <patternFill patternType="solid">
        <fgColor rgb="00E7E3F6"/>
      </patternFill>
    </fill>
    <fill>
      <patternFill patternType="solid">
        <fgColor rgb="00FDF2D0"/>
      </patternFill>
    </fill>
    <fill>
      <patternFill patternType="solid">
        <fgColor rgb="00EAEEF5"/>
      </patternFill>
    </fill>
    <fill>
      <patternFill patternType="solid">
        <fgColor rgb="00FFF8E1"/>
      </patternFill>
    </fill>
    <fill>
      <patternFill patternType="solid">
        <fgColor rgb="00D9F0DC"/>
      </patternFill>
    </fill>
    <fill>
      <patternFill patternType="solid">
        <fgColor rgb="00FCEFC7"/>
      </patternFill>
    </fill>
  </fills>
  <borders count="5">
    <border>
      <left/>
      <right/>
      <top/>
      <bottom/>
      <diagonal/>
    </border>
    <border>
      <left style="thin">
        <color rgb="00D8DEE8"/>
      </left>
      <right style="thin">
        <color rgb="00D8DEE8"/>
      </right>
      <top style="thin">
        <color rgb="00D8DEE8"/>
      </top>
      <bottom style="thin">
        <color rgb="00D8DEE8"/>
      </bottom>
    </border>
    <border>
      <left/>
      <right/>
      <top style="thin">
        <color rgb="00D8DEE8"/>
      </top>
      <bottom/>
      <diagonal/>
    </border>
    <border>
      <left/>
      <right style="thin">
        <color rgb="00D8DEE8"/>
      </right>
      <top style="thin">
        <color rgb="00D8DEE8"/>
      </top>
      <bottom/>
      <diagonal/>
    </border>
    <border>
      <left/>
      <right style="thin">
        <color rgb="00D8DEE8"/>
      </right>
      <top style="thin">
        <color rgb="00D8DEE8"/>
      </top>
      <bottom style="thin">
        <color rgb="00D8DEE8"/>
      </bottom>
      <diagonal/>
    </border>
  </borders>
  <cellStyleXfs count="1">
    <xf numFmtId="0" fontId="0" fillId="0" borderId="0"/>
  </cellStyleXfs>
  <cellXfs count="108">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right" vertical="center"/>
    </xf>
    <xf numFmtId="0" fontId="3" fillId="3" borderId="0" applyAlignment="1" pivotButton="0" quotePrefix="0" xfId="0">
      <alignment horizontal="left" vertical="center"/>
    </xf>
    <xf numFmtId="0" fontId="0" fillId="3" borderId="0" pivotButton="0" quotePrefix="0" xfId="0"/>
    <xf numFmtId="0" fontId="4" fillId="4" borderId="1" applyAlignment="1" pivotButton="0" quotePrefix="0" xfId="0">
      <alignment horizontal="center" vertical="center"/>
    </xf>
    <xf numFmtId="0" fontId="0" fillId="4" borderId="1" pivotButton="0" quotePrefix="0" xfId="0"/>
    <xf numFmtId="0" fontId="7"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11" fillId="7" borderId="1" applyAlignment="1" pivotButton="0" quotePrefix="0" xfId="0">
      <alignment horizontal="left" vertical="center"/>
    </xf>
    <xf numFmtId="0" fontId="12" fillId="7"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6" fillId="4" borderId="1" applyAlignment="1" pivotButton="0" quotePrefix="0" xfId="0">
      <alignment horizontal="center" vertical="center"/>
    </xf>
    <xf numFmtId="0" fontId="8" fillId="5" borderId="1" applyAlignment="1" pivotButton="0" quotePrefix="0" xfId="0">
      <alignment horizontal="center" vertical="center"/>
    </xf>
    <xf numFmtId="0" fontId="10" fillId="6" borderId="1" applyAlignment="1" pivotButton="0" quotePrefix="0" xfId="0">
      <alignment horizontal="center" vertical="center"/>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9" borderId="1" applyAlignment="1" pivotButton="0" quotePrefix="0" xfId="0">
      <alignment horizontal="center" vertical="center"/>
    </xf>
    <xf numFmtId="0" fontId="15" fillId="10" borderId="1" applyAlignment="1" pivotButton="0" quotePrefix="0" xfId="0">
      <alignment horizontal="left" vertical="center"/>
    </xf>
    <xf numFmtId="0" fontId="16" fillId="9" borderId="1" applyAlignment="1" pivotButton="0" quotePrefix="0" xfId="0">
      <alignment horizontal="center" vertical="center"/>
    </xf>
    <xf numFmtId="0" fontId="17" fillId="9" borderId="1" applyAlignment="1" pivotButton="0" quotePrefix="0" xfId="0">
      <alignment horizontal="center" vertical="center"/>
    </xf>
    <xf numFmtId="2" fontId="17" fillId="9" borderId="1" applyAlignment="1" pivotButton="0" quotePrefix="0" xfId="0">
      <alignment horizontal="center" vertical="center"/>
    </xf>
    <xf numFmtId="0" fontId="15" fillId="7" borderId="1" applyAlignment="1" pivotButton="0" quotePrefix="0" xfId="0">
      <alignment horizontal="center" vertical="center"/>
    </xf>
    <xf numFmtId="0" fontId="15" fillId="11" borderId="1" applyAlignment="1" pivotButton="0" quotePrefix="0" xfId="0">
      <alignment horizontal="left" vertical="center"/>
    </xf>
    <xf numFmtId="0" fontId="16" fillId="7" borderId="1" applyAlignment="1" pivotButton="0" quotePrefix="0" xfId="0">
      <alignment horizontal="center" vertical="center"/>
    </xf>
    <xf numFmtId="0" fontId="17" fillId="7" borderId="1" applyAlignment="1" pivotButton="0" quotePrefix="0" xfId="0">
      <alignment horizontal="center" vertical="center"/>
    </xf>
    <xf numFmtId="2" fontId="17" fillId="7" borderId="1" applyAlignment="1" pivotButton="0" quotePrefix="0" xfId="0">
      <alignment horizontal="center" vertical="center"/>
    </xf>
    <xf numFmtId="0" fontId="15" fillId="12" borderId="1" applyAlignment="1" pivotButton="0" quotePrefix="0" xfId="0">
      <alignment horizontal="left" vertical="center"/>
    </xf>
    <xf numFmtId="0" fontId="15" fillId="13" borderId="1" applyAlignment="1" pivotButton="0" quotePrefix="0" xfId="0">
      <alignment horizontal="left" vertical="center"/>
    </xf>
    <xf numFmtId="0" fontId="15" fillId="14" borderId="1" applyAlignment="1" pivotButton="0" quotePrefix="0" xfId="0">
      <alignment horizontal="left" vertical="center"/>
    </xf>
    <xf numFmtId="0" fontId="18" fillId="0" borderId="0" applyAlignment="1" pivotButton="0" quotePrefix="0" xfId="0">
      <alignment horizontal="left" vertical="center"/>
    </xf>
    <xf numFmtId="0" fontId="12" fillId="0" borderId="0" applyAlignment="1" pivotButton="0" quotePrefix="0" xfId="0">
      <alignment horizontal="left" vertical="center"/>
    </xf>
    <xf numFmtId="0" fontId="19" fillId="0" borderId="0" applyAlignment="1" pivotButton="0" quotePrefix="0" xfId="0">
      <alignment horizontal="left" vertical="center"/>
    </xf>
    <xf numFmtId="0" fontId="14" fillId="8" borderId="1" applyAlignment="1" pivotButton="0" quotePrefix="0" xfId="0">
      <alignment horizontal="center" vertical="center"/>
    </xf>
    <xf numFmtId="0" fontId="4" fillId="0" borderId="0" applyAlignment="1" pivotButton="0" quotePrefix="0" xfId="0">
      <alignment horizontal="left" vertical="center"/>
    </xf>
    <xf numFmtId="0" fontId="20" fillId="9" borderId="1" applyAlignment="1" pivotButton="0" quotePrefix="0" xfId="0">
      <alignment horizontal="center" vertical="center"/>
    </xf>
    <xf numFmtId="0" fontId="0" fillId="0" borderId="1" pivotButton="0" quotePrefix="0" xfId="0"/>
    <xf numFmtId="0" fontId="17" fillId="9" borderId="1" applyAlignment="1" pivotButton="0" quotePrefix="0" xfId="0">
      <alignment horizontal="center" vertical="center"/>
    </xf>
    <xf numFmtId="0" fontId="17" fillId="9" borderId="1" applyAlignment="1" pivotButton="0" quotePrefix="0" xfId="0">
      <alignment horizontal="left" vertical="center"/>
    </xf>
    <xf numFmtId="0" fontId="21" fillId="10" borderId="1" applyAlignment="1" pivotButton="0" quotePrefix="0" xfId="0">
      <alignment horizontal="left" vertical="center"/>
    </xf>
    <xf numFmtId="0" fontId="3" fillId="9" borderId="1" applyAlignment="1" pivotButton="0" quotePrefix="0" xfId="0">
      <alignment horizontal="center" vertical="center"/>
    </xf>
    <xf numFmtId="0" fontId="17" fillId="7" borderId="1" applyAlignment="1" pivotButton="0" quotePrefix="0" xfId="0">
      <alignment horizontal="center" vertical="center"/>
    </xf>
    <xf numFmtId="0" fontId="17" fillId="7" borderId="1" applyAlignment="1" pivotButton="0" quotePrefix="0" xfId="0">
      <alignment horizontal="left" vertical="center"/>
    </xf>
    <xf numFmtId="0" fontId="21" fillId="11" borderId="1" applyAlignment="1" pivotButton="0" quotePrefix="0" xfId="0">
      <alignment horizontal="left" vertical="center"/>
    </xf>
    <xf numFmtId="0" fontId="21" fillId="12" borderId="1" applyAlignment="1" pivotButton="0" quotePrefix="0" xfId="0">
      <alignment horizontal="left" vertical="center"/>
    </xf>
    <xf numFmtId="0" fontId="21" fillId="13" borderId="1" applyAlignment="1" pivotButton="0" quotePrefix="0" xfId="0">
      <alignment horizontal="left" vertical="center"/>
    </xf>
    <xf numFmtId="0" fontId="21" fillId="14" borderId="1" applyAlignment="1" pivotButton="0" quotePrefix="0" xfId="0">
      <alignment horizontal="left"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12" borderId="1" applyAlignment="1" pivotButton="0" quotePrefix="0" xfId="0">
      <alignment horizontal="center" vertical="center"/>
    </xf>
    <xf numFmtId="0" fontId="3" fillId="13" borderId="1" applyAlignment="1" pivotButton="0" quotePrefix="0" xfId="0">
      <alignment horizontal="center" vertical="center"/>
    </xf>
    <xf numFmtId="0" fontId="3" fillId="14" borderId="1" applyAlignment="1" pivotButton="0" quotePrefix="0" xfId="0">
      <alignment horizontal="center" vertical="center"/>
    </xf>
    <xf numFmtId="0" fontId="22" fillId="15" borderId="1" applyAlignment="1" pivotButton="0" quotePrefix="0" xfId="0">
      <alignment horizontal="center" vertical="center"/>
    </xf>
    <xf numFmtId="0" fontId="3" fillId="3" borderId="1" applyAlignment="1" pivotButton="0" quotePrefix="0" xfId="0">
      <alignment horizontal="center" vertical="center"/>
    </xf>
    <xf numFmtId="0" fontId="22" fillId="0" borderId="0" applyAlignment="1" pivotButton="0" quotePrefix="0" xfId="0">
      <alignment horizontal="left" vertical="center"/>
    </xf>
    <xf numFmtId="0" fontId="22" fillId="15" borderId="0" applyAlignment="1" pivotButton="0" quotePrefix="0" xfId="0">
      <alignment horizontal="center" vertical="center"/>
    </xf>
    <xf numFmtId="0" fontId="24" fillId="15" borderId="1" applyAlignment="1" pivotButton="0" quotePrefix="0" xfId="0">
      <alignment horizontal="center" vertical="center"/>
    </xf>
    <xf numFmtId="0" fontId="23" fillId="9" borderId="1" applyAlignment="1" pivotButton="0" quotePrefix="0" xfId="0">
      <alignment horizontal="left" vertical="center"/>
    </xf>
    <xf numFmtId="0" fontId="24" fillId="15" borderId="0" applyAlignment="1" pivotButton="0" quotePrefix="0" xfId="0">
      <alignment horizontal="center" vertical="center"/>
    </xf>
    <xf numFmtId="0" fontId="23" fillId="7" borderId="1" applyAlignment="1" pivotButton="0" quotePrefix="0" xfId="0">
      <alignment horizontal="left" vertical="center"/>
    </xf>
    <xf numFmtId="0" fontId="2" fillId="2" borderId="0" applyAlignment="1" pivotButton="0" quotePrefix="0" xfId="0">
      <alignment horizontal="left" vertical="center"/>
    </xf>
    <xf numFmtId="0" fontId="25" fillId="3" borderId="0" applyAlignment="1" pivotButton="0" quotePrefix="0" xfId="0">
      <alignment horizontal="center" vertical="center"/>
    </xf>
    <xf numFmtId="0" fontId="26" fillId="8" borderId="0" applyAlignment="1" pivotButton="0" quotePrefix="0" xfId="0">
      <alignment horizontal="left" vertical="center"/>
    </xf>
    <xf numFmtId="0" fontId="0" fillId="8" borderId="0" pivotButton="0" quotePrefix="0" xfId="0"/>
    <xf numFmtId="0" fontId="27" fillId="9" borderId="1" applyAlignment="1" pivotButton="0" quotePrefix="0" xfId="0">
      <alignment horizontal="center" vertical="center"/>
    </xf>
    <xf numFmtId="0" fontId="15" fillId="9" borderId="1" applyAlignment="1" pivotButton="0" quotePrefix="0" xfId="0">
      <alignment horizontal="left" vertical="center"/>
    </xf>
    <xf numFmtId="0" fontId="28" fillId="16" borderId="1" applyAlignment="1" pivotButton="0" quotePrefix="0" xfId="0">
      <alignment horizontal="center" vertical="center"/>
    </xf>
    <xf numFmtId="0" fontId="25" fillId="9" borderId="1" applyAlignment="1" pivotButton="0" quotePrefix="0" xfId="0">
      <alignment horizontal="center" vertical="center"/>
    </xf>
    <xf numFmtId="0" fontId="27" fillId="9" borderId="1" applyAlignment="1" pivotButton="0" quotePrefix="0" xfId="0">
      <alignment horizontal="left" vertical="center"/>
    </xf>
    <xf numFmtId="0" fontId="27" fillId="7" borderId="1" applyAlignment="1" pivotButton="0" quotePrefix="0" xfId="0">
      <alignment horizontal="center" vertical="center"/>
    </xf>
    <xf numFmtId="0" fontId="15" fillId="7" borderId="1" applyAlignment="1" pivotButton="0" quotePrefix="0" xfId="0">
      <alignment horizontal="left" vertical="center"/>
    </xf>
    <xf numFmtId="0" fontId="25" fillId="7" borderId="1" applyAlignment="1" pivotButton="0" quotePrefix="0" xfId="0">
      <alignment horizontal="center" vertical="center"/>
    </xf>
    <xf numFmtId="0" fontId="27" fillId="7" borderId="1" applyAlignment="1" pivotButton="0" quotePrefix="0" xfId="0">
      <alignment horizontal="left" vertical="center"/>
    </xf>
    <xf numFmtId="0" fontId="12" fillId="10" borderId="1" applyAlignment="1" pivotButton="0" quotePrefix="0" xfId="0">
      <alignment horizontal="center" vertical="center"/>
    </xf>
    <xf numFmtId="0" fontId="0" fillId="10" borderId="0" pivotButton="0" quotePrefix="0" xfId="0"/>
    <xf numFmtId="0" fontId="12" fillId="11" borderId="1" applyAlignment="1" pivotButton="0" quotePrefix="0" xfId="0">
      <alignment horizontal="center" vertical="center"/>
    </xf>
    <xf numFmtId="0" fontId="0" fillId="11" borderId="0" pivotButton="0" quotePrefix="0" xfId="0"/>
    <xf numFmtId="0" fontId="12" fillId="12" borderId="1" applyAlignment="1" pivotButton="0" quotePrefix="0" xfId="0">
      <alignment horizontal="center" vertical="center"/>
    </xf>
    <xf numFmtId="0" fontId="0" fillId="12" borderId="0" pivotButton="0" quotePrefix="0" xfId="0"/>
    <xf numFmtId="0" fontId="12" fillId="13" borderId="1" applyAlignment="1" pivotButton="0" quotePrefix="0" xfId="0">
      <alignment horizontal="center" vertical="center"/>
    </xf>
    <xf numFmtId="0" fontId="0" fillId="13" borderId="0" pivotButton="0" quotePrefix="0" xfId="0"/>
    <xf numFmtId="0" fontId="12" fillId="14" borderId="1" applyAlignment="1" pivotButton="0" quotePrefix="0" xfId="0">
      <alignment horizontal="center" vertical="center"/>
    </xf>
    <xf numFmtId="0" fontId="0" fillId="14" borderId="0" pivotButton="0" quotePrefix="0" xfId="0"/>
    <xf numFmtId="0" fontId="29" fillId="10" borderId="1" applyAlignment="1" pivotButton="0" quotePrefix="0" xfId="0">
      <alignment horizontal="center" vertical="center"/>
    </xf>
    <xf numFmtId="0" fontId="29" fillId="11" borderId="1" applyAlignment="1" pivotButton="0" quotePrefix="0" xfId="0">
      <alignment horizontal="center" vertical="center"/>
    </xf>
    <xf numFmtId="0" fontId="29" fillId="12" borderId="1" applyAlignment="1" pivotButton="0" quotePrefix="0" xfId="0">
      <alignment horizontal="center" vertical="center"/>
    </xf>
    <xf numFmtId="0" fontId="29" fillId="13" borderId="1" applyAlignment="1" pivotButton="0" quotePrefix="0" xfId="0">
      <alignment horizontal="center" vertical="center"/>
    </xf>
    <xf numFmtId="0" fontId="29" fillId="14" borderId="1" applyAlignment="1" pivotButton="0" quotePrefix="0" xfId="0">
      <alignment horizontal="center" vertical="center"/>
    </xf>
    <xf numFmtId="0" fontId="30" fillId="2" borderId="0" applyAlignment="1" pivotButton="0" quotePrefix="0" xfId="0">
      <alignment horizontal="left" vertical="center"/>
    </xf>
    <xf numFmtId="0" fontId="14" fillId="8" borderId="1" applyAlignment="1" pivotButton="0" quotePrefix="0" xfId="0">
      <alignment horizontal="left" vertical="center"/>
    </xf>
    <xf numFmtId="0" fontId="31" fillId="10" borderId="1" applyAlignment="1" pivotButton="0" quotePrefix="0" xfId="0">
      <alignment horizontal="center" vertical="center"/>
    </xf>
    <xf numFmtId="0" fontId="31" fillId="16" borderId="1" applyAlignment="1" pivotButton="0" quotePrefix="0" xfId="0">
      <alignment horizontal="center" vertical="center"/>
    </xf>
    <xf numFmtId="0" fontId="31" fillId="11" borderId="1" applyAlignment="1" pivotButton="0" quotePrefix="0" xfId="0">
      <alignment horizontal="center" vertical="center"/>
    </xf>
    <xf numFmtId="0" fontId="31" fillId="12" borderId="1" applyAlignment="1" pivotButton="0" quotePrefix="0" xfId="0">
      <alignment horizontal="center" vertical="center"/>
    </xf>
    <xf numFmtId="0" fontId="31" fillId="13" borderId="1" applyAlignment="1" pivotButton="0" quotePrefix="0" xfId="0">
      <alignment horizontal="center" vertical="center"/>
    </xf>
    <xf numFmtId="0" fontId="31" fillId="14" borderId="1" applyAlignment="1" pivotButton="0" quotePrefix="0" xfId="0">
      <alignment horizontal="center" vertical="center"/>
    </xf>
    <xf numFmtId="0" fontId="17" fillId="9" borderId="0" applyAlignment="1" pivotButton="0" quotePrefix="0" xfId="0">
      <alignment horizontal="left" vertical="center"/>
    </xf>
    <xf numFmtId="0" fontId="17" fillId="7" borderId="0" applyAlignment="1" pivotButton="0" quotePrefix="0" xfId="0">
      <alignment horizontal="left" vertical="center"/>
    </xf>
    <xf numFmtId="0" fontId="0" fillId="0" borderId="4" pivotButton="0" quotePrefix="0" xfId="0"/>
    <xf numFmtId="0" fontId="32" fillId="16" borderId="1" applyAlignment="1" pivotButton="0" quotePrefix="0" xfId="0">
      <alignment horizontal="center" vertical="center"/>
    </xf>
    <xf numFmtId="0" fontId="25" fillId="17" borderId="1" applyAlignment="1" pivotButton="0" quotePrefix="0" xfId="0">
      <alignment horizontal="center" vertical="center"/>
    </xf>
    <xf numFmtId="0" fontId="33" fillId="0" borderId="1" applyAlignment="1" pivotButton="0" quotePrefix="0" xfId="0">
      <alignment horizontal="left" vertical="center"/>
    </xf>
    <xf numFmtId="0" fontId="25" fillId="18" borderId="1" applyAlignment="1" pivotButton="0" quotePrefix="0" xfId="0">
      <alignment horizontal="center" vertical="center"/>
    </xf>
  </cellXfs>
  <cellStyles count="1">
    <cellStyle name="Normal" xfId="0" builtinId="0" hidden="0"/>
  </cellStyles>
  <dxfs count="2">
    <dxf>
      <fill>
        <patternFill patternType="solid">
          <fgColor rgb="00D9F0DC"/>
        </patternFill>
      </fill>
    </dxf>
    <dxf>
      <fill>
        <patternFill patternType="solid">
          <fgColor rgb="00FCEF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2"/>
  <chart>
    <title>
      <tx>
        <rich>
          <a:bodyPr/>
          <a:p>
            <a:pPr>
              <a:defRPr/>
            </a:pPr>
            <a:r>
              <a:t>Andamento punti cumulati</a:t>
            </a:r>
          </a:p>
        </rich>
      </tx>
    </title>
    <plotArea>
      <lineChart>
        <grouping val="standard"/>
        <ser>
          <idx val="0"/>
          <order val="0"/>
          <tx>
            <strRef>
              <f>'Classifica'!R32</f>
            </strRef>
          </tx>
          <spPr>
            <a:ln w="22000">
              <a:solidFill>
                <a:srgbClr val="2E6FB7"/>
              </a:solidFill>
              <a:prstDash val="solid"/>
            </a:ln>
          </spPr>
          <marker>
            <symbol val="circle"/>
            <size val="6"/>
            <spPr>
              <a:ln>
                <a:prstDash val="solid"/>
              </a:ln>
            </spPr>
          </marker>
          <cat>
            <numRef>
              <f>'Classifica'!$A$33:$A$40</f>
            </numRef>
          </cat>
          <val>
            <numRef>
              <f>'Classifica'!$R$33:$R$40</f>
            </numRef>
          </val>
          <smooth val="0"/>
        </ser>
        <ser>
          <idx val="1"/>
          <order val="1"/>
          <tx>
            <strRef>
              <f>'Classifica'!S32</f>
            </strRef>
          </tx>
          <spPr>
            <a:ln w="22000">
              <a:solidFill>
                <a:srgbClr val="3E8E5A"/>
              </a:solidFill>
              <a:prstDash val="solid"/>
            </a:ln>
          </spPr>
          <marker>
            <symbol val="circle"/>
            <size val="6"/>
            <spPr>
              <a:ln>
                <a:prstDash val="solid"/>
              </a:ln>
            </spPr>
          </marker>
          <cat>
            <numRef>
              <f>'Classifica'!$A$33:$A$40</f>
            </numRef>
          </cat>
          <val>
            <numRef>
              <f>'Classifica'!$S$33:$S$40</f>
            </numRef>
          </val>
          <smooth val="0"/>
        </ser>
        <ser>
          <idx val="2"/>
          <order val="2"/>
          <tx>
            <strRef>
              <f>'Classifica'!T32</f>
            </strRef>
          </tx>
          <spPr>
            <a:ln w="22000">
              <a:solidFill>
                <a:srgbClr val="C2622F"/>
              </a:solidFill>
              <a:prstDash val="solid"/>
            </a:ln>
          </spPr>
          <marker>
            <symbol val="circle"/>
            <size val="6"/>
            <spPr>
              <a:ln>
                <a:prstDash val="solid"/>
              </a:ln>
            </spPr>
          </marker>
          <cat>
            <numRef>
              <f>'Classifica'!$A$33:$A$40</f>
            </numRef>
          </cat>
          <val>
            <numRef>
              <f>'Classifica'!$T$33:$T$40</f>
            </numRef>
          </val>
          <smooth val="0"/>
        </ser>
        <ser>
          <idx val="3"/>
          <order val="3"/>
          <tx>
            <strRef>
              <f>'Classifica'!U32</f>
            </strRef>
          </tx>
          <spPr>
            <a:ln w="22000">
              <a:solidFill>
                <a:srgbClr val="6A56A8"/>
              </a:solidFill>
              <a:prstDash val="solid"/>
            </a:ln>
          </spPr>
          <marker>
            <symbol val="circle"/>
            <size val="6"/>
            <spPr>
              <a:ln>
                <a:prstDash val="solid"/>
              </a:ln>
            </spPr>
          </marker>
          <cat>
            <numRef>
              <f>'Classifica'!$A$33:$A$40</f>
            </numRef>
          </cat>
          <val>
            <numRef>
              <f>'Classifica'!$U$33:$U$40</f>
            </numRef>
          </val>
          <smooth val="0"/>
        </ser>
        <ser>
          <idx val="4"/>
          <order val="4"/>
          <tx>
            <strRef>
              <f>'Classifica'!V32</f>
            </strRef>
          </tx>
          <spPr>
            <a:ln w="22000">
              <a:solidFill>
                <a:srgbClr val="B08A1E"/>
              </a:solidFill>
              <a:prstDash val="solid"/>
            </a:ln>
          </spPr>
          <marker>
            <symbol val="circle"/>
            <size val="6"/>
            <spPr>
              <a:ln>
                <a:prstDash val="solid"/>
              </a:ln>
            </spPr>
          </marker>
          <cat>
            <numRef>
              <f>'Classifica'!$A$33:$A$40</f>
            </numRef>
          </cat>
          <val>
            <numRef>
              <f>'Classifica'!$V$33:$V$40</f>
            </numRef>
          </val>
          <smooth val="0"/>
        </ser>
        <axId val="10"/>
        <axId val="100"/>
      </lineChart>
      <catAx>
        <axId val="10"/>
        <scaling>
          <orientation val="minMax"/>
        </scaling>
        <axPos val="l"/>
        <title>
          <tx>
            <rich>
              <a:bodyPr/>
              <a:p>
                <a:pPr>
                  <a:defRPr/>
                </a:pPr>
                <a:r>
                  <a:t>Giornata</a:t>
                </a:r>
              </a:p>
            </rich>
          </tx>
        </title>
        <majorTickMark val="none"/>
        <minorTickMark val="none"/>
        <crossAx val="100"/>
        <lblOffset val="100"/>
      </catAx>
      <valAx>
        <axId val="100"/>
        <scaling>
          <orientation val="minMax"/>
        </scaling>
        <axPos val="l"/>
        <majorGridlines/>
        <title>
          <tx>
            <rich>
              <a:bodyPr/>
              <a:p>
                <a:pPr>
                  <a:defRPr/>
                </a:pPr>
                <a:r>
                  <a:t>Punti</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42</row>
      <rowOff>0</rowOff>
    </from>
    <ext cx="9720000" cy="34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C8A24A"/>
    <outlinePr summaryBelow="1" summaryRight="1"/>
    <pageSetUpPr/>
  </sheetPr>
  <dimension ref="A1:V40"/>
  <sheetViews>
    <sheetView showGridLines="0" workbookViewId="0">
      <pane ySplit="3" topLeftCell="A4" activePane="bottomLeft" state="frozen"/>
      <selection pane="bottomLeft" activeCell="A1" sqref="A1"/>
    </sheetView>
  </sheetViews>
  <sheetFormatPr baseColWidth="8" defaultRowHeight="15"/>
  <cols>
    <col width="6" customWidth="1" min="1" max="1"/>
    <col width="19" customWidth="1" min="2" max="2"/>
    <col width="11" customWidth="1" min="3" max="3"/>
    <col width="11" customWidth="1" min="4" max="4"/>
    <col width="11" customWidth="1" min="5" max="5"/>
    <col width="12" customWidth="1" min="6" max="6"/>
    <col width="12" customWidth="1" min="7" max="7"/>
    <col width="11" customWidth="1" min="8" max="8"/>
    <col width="23" customWidth="1" min="9" max="9"/>
    <col width="2" customWidth="1" min="10" max="10"/>
    <col width="16" customWidth="1" min="11" max="11"/>
    <col width="11" customWidth="1" min="12" max="12"/>
    <col width="11" customWidth="1" min="13" max="13"/>
    <col width="16" customWidth="1" min="14" max="14"/>
    <col width="9" customWidth="1" min="15" max="15"/>
    <col width="6" customWidth="1" min="16" max="16"/>
  </cols>
  <sheetData>
    <row r="1" ht="34" customHeight="1">
      <c r="A1" s="1" t="inlineStr">
        <is>
          <t>TROFEO OVALMO</t>
        </is>
      </c>
      <c r="B1" s="2" t="n"/>
      <c r="C1" s="2" t="n"/>
      <c r="D1" s="2" t="n"/>
      <c r="E1" s="2" t="n"/>
      <c r="F1" s="2" t="n"/>
      <c r="G1" s="2" t="n"/>
      <c r="H1" s="2" t="n"/>
      <c r="I1" s="2" t="n"/>
      <c r="K1" s="3" t="inlineStr">
        <is>
          <t>Serie A 2026/27</t>
        </is>
      </c>
      <c r="L1" s="2" t="n"/>
      <c r="M1" s="2" t="n"/>
      <c r="N1" s="2" t="n"/>
      <c r="O1" s="2" t="n"/>
      <c r="P1" s="2" t="n"/>
    </row>
    <row r="2" ht="6" customHeight="1">
      <c r="A2" s="2" t="n"/>
      <c r="B2" s="2" t="n"/>
      <c r="C2" s="2" t="n"/>
      <c r="D2" s="2" t="n"/>
      <c r="E2" s="2" t="n"/>
      <c r="F2" s="2" t="n"/>
      <c r="G2" s="2" t="n"/>
      <c r="H2" s="2" t="n"/>
      <c r="I2" s="2" t="n"/>
      <c r="J2" s="2" t="n"/>
      <c r="K2" s="2" t="n"/>
      <c r="L2" s="2" t="n"/>
      <c r="M2" s="2" t="n"/>
      <c r="N2" s="2" t="n"/>
      <c r="O2" s="2" t="n"/>
      <c r="P2" s="2" t="n"/>
    </row>
    <row r="3" ht="17" customHeight="1">
      <c r="A3" s="4" t="inlineStr">
        <is>
          <t xml:space="preserve">   Classifica aggiornata in automatico - non serve toccare nulla in questo foglio</t>
        </is>
      </c>
      <c r="B3" s="5" t="n"/>
      <c r="C3" s="5" t="n"/>
      <c r="D3" s="5" t="n"/>
      <c r="E3" s="5" t="n"/>
      <c r="F3" s="5" t="n"/>
      <c r="G3" s="5" t="n"/>
      <c r="H3" s="5" t="n"/>
      <c r="I3" s="5" t="n"/>
      <c r="J3" s="5" t="n"/>
      <c r="K3" s="5" t="n"/>
      <c r="L3" s="5" t="n"/>
      <c r="M3" s="5" t="n"/>
      <c r="N3" s="5" t="n"/>
      <c r="O3" s="5" t="n"/>
      <c r="P3" s="5" t="n"/>
    </row>
    <row r="5">
      <c r="B5" s="6" t="inlineStr">
        <is>
          <t>1o POSTO</t>
        </is>
      </c>
      <c r="C5" s="7" t="n"/>
      <c r="E5" s="8" t="inlineStr">
        <is>
          <t>2o POSTO</t>
        </is>
      </c>
      <c r="F5" s="9" t="n"/>
      <c r="H5" s="10" t="inlineStr">
        <is>
          <t>3o POSTO</t>
        </is>
      </c>
      <c r="I5" s="11" t="n"/>
      <c r="K5" s="12" t="inlineStr">
        <is>
          <t>Giornate completate</t>
        </is>
      </c>
      <c r="L5" s="13">
        <f>COUNTIF($B$33:$B$40,"Completata")</f>
        <v/>
      </c>
    </row>
    <row r="6" ht="24" customHeight="1">
      <c r="B6" s="14">
        <f>IFERROR(INDEX($B$12:$B$16,MATCH(1,$A$12:$A$16,0))&amp;IF(COUNTIF($A$12:$A$16,1)&gt;1," (a pari)",""),"-")</f>
        <v/>
      </c>
      <c r="C6" s="7" t="n"/>
      <c r="E6" s="15">
        <f>IFERROR(INDEX($B$12:$B$16,MATCH(2,$A$12:$A$16,0))&amp;IF(COUNTIF($A$12:$A$16,2)&gt;1," (a pari)",""),"-")</f>
        <v/>
      </c>
      <c r="F6" s="9" t="n"/>
      <c r="H6" s="16">
        <f>IFERROR(INDEX($B$12:$B$16,MATCH(3,$A$12:$A$16,0))&amp;IF(COUNTIF($A$12:$A$16,3)&gt;1," (a pari)",""),"-")</f>
        <v/>
      </c>
      <c r="I6" s="11" t="n"/>
      <c r="K6" s="12" t="inlineStr">
        <is>
          <t>Giornate iniziate</t>
        </is>
      </c>
      <c r="L6" s="13">
        <f>COUNTIF($B$33:$B$40,"Completata")+COUNTIF($B$33:$B$40,"In corso")</f>
        <v/>
      </c>
    </row>
    <row r="7">
      <c r="B7" s="17">
        <f>IFERROR(INDEX($C$12:$C$16,MATCH(1,$A$12:$A$16,0))&amp;" punti","")</f>
        <v/>
      </c>
      <c r="C7" s="7" t="n"/>
      <c r="E7" s="18">
        <f>IFERROR(INDEX($C$12:$C$16,MATCH(2,$A$12:$A$16,0))&amp;" punti","")</f>
        <v/>
      </c>
      <c r="F7" s="9" t="n"/>
      <c r="H7" s="19">
        <f>IFERROR(INDEX($C$12:$C$16,MATCH(3,$A$12:$A$16,0))&amp;" punti","")</f>
        <v/>
      </c>
      <c r="I7" s="11" t="n"/>
      <c r="K7" s="12" t="inlineStr">
        <is>
          <t>Ultima completata</t>
        </is>
      </c>
      <c r="L7" s="13">
        <f>IF($L$5=0,"-",SUMPRODUCT(MAX(($B$33:$B$40="Completata")*$A$33:$A$40)))</f>
        <v/>
      </c>
    </row>
    <row r="8">
      <c r="K8" s="12" t="inlineStr">
        <is>
          <t>Prossima da giocare</t>
        </is>
      </c>
      <c r="L8" s="13">
        <f>IF(SUMPRODUCT(MIN(($B$33:$B$40&lt;&gt;"Completata")*$A$33:$A$40+($B$33:$B$40="Completata")*999))&gt;=999,"-",SUMPRODUCT(MIN(($B$33:$B$40&lt;&gt;"Completata")*$A$33:$A$40+($B$33:$B$40="Completata")*999)))</f>
        <v/>
      </c>
    </row>
    <row r="10">
      <c r="A10" s="20" t="inlineStr">
        <is>
          <t>CLASSIFICA GENERALE</t>
        </is>
      </c>
    </row>
    <row r="11" ht="30" customHeight="1">
      <c r="A11" s="21" t="inlineStr">
        <is>
          <t>Pos</t>
        </is>
      </c>
      <c r="B11" s="21" t="inlineStr">
        <is>
          <t>Giocatore</t>
        </is>
      </c>
      <c r="C11" s="21" t="inlineStr">
        <is>
          <t>Punti</t>
        </is>
      </c>
      <c r="D11" s="21" t="inlineStr">
        <is>
          <t>Segni presi</t>
        </is>
      </c>
      <c r="E11" s="21" t="inlineStr">
        <is>
          <t>Risultati esatti</t>
        </is>
      </c>
      <c r="F11" s="21" t="inlineStr">
        <is>
          <t>Pronostici inviati</t>
        </is>
      </c>
      <c r="G11" s="21" t="inlineStr">
        <is>
          <t>Media / giornata</t>
        </is>
      </c>
      <c r="H11" s="21" t="inlineStr">
        <is>
          <t>Giornate vinte</t>
        </is>
      </c>
    </row>
    <row r="12" ht="20" customHeight="1">
      <c r="A12" s="22">
        <f>SUMPRODUCT((($C$12:$C$16*1000+$E$12:$E$16)&gt;($C12*1000+$E12))*1)+1</f>
        <v/>
      </c>
      <c r="B12" s="23">
        <f>Config!$A$6</f>
        <v/>
      </c>
      <c r="C12" s="24">
        <f>SUM(Punti!$D$3:$D$82)</f>
        <v/>
      </c>
      <c r="D12" s="25">
        <f>COUNTIF(Punti!$D$3:$D$82,Config!$D$7)+COUNTIF(Punti!$D$3:$D$82,Config!$D$6)</f>
        <v/>
      </c>
      <c r="E12" s="25">
        <f>COUNTIF(Punti!$D$3:$D$82,Config!$D$6)</f>
        <v/>
      </c>
      <c r="F12" s="25">
        <f>SUMPRODUCT(((Pronostici!$E$3:$E$82&lt;&gt;"")+(Pronostici!$F$3:$F$82&lt;&gt;""))*1&gt;0)</f>
        <v/>
      </c>
      <c r="G12" s="26">
        <f>IF($L$6=0,0,$C12/$L$6)</f>
        <v/>
      </c>
      <c r="H12" s="25">
        <f>SUMPRODUCT(($C$33:$C$40=$H$33:$H$40)*($H$33:$H$40&gt;0)*($B$33:$B$40="Completata"))</f>
        <v/>
      </c>
    </row>
    <row r="13" ht="20" customHeight="1">
      <c r="A13" s="27">
        <f>SUMPRODUCT((($C$12:$C$16*1000+$E$12:$E$16)&gt;($C13*1000+$E13))*1)+1</f>
        <v/>
      </c>
      <c r="B13" s="28">
        <f>Config!$A$7</f>
        <v/>
      </c>
      <c r="C13" s="29">
        <f>SUM(Punti!$E$3:$E$82)</f>
        <v/>
      </c>
      <c r="D13" s="30">
        <f>COUNTIF(Punti!$E$3:$E$82,Config!$D$7)+COUNTIF(Punti!$E$3:$E$82,Config!$D$6)</f>
        <v/>
      </c>
      <c r="E13" s="30">
        <f>COUNTIF(Punti!$E$3:$E$82,Config!$D$6)</f>
        <v/>
      </c>
      <c r="F13" s="30">
        <f>SUMPRODUCT(((Pronostici!$H$3:$H$82&lt;&gt;"")+(Pronostici!$I$3:$I$82&lt;&gt;""))*1&gt;0)</f>
        <v/>
      </c>
      <c r="G13" s="31">
        <f>IF($L$6=0,0,$C13/$L$6)</f>
        <v/>
      </c>
      <c r="H13" s="30">
        <f>SUMPRODUCT(($D$33:$D$40=$H$33:$H$40)*($H$33:$H$40&gt;0)*($B$33:$B$40="Completata"))</f>
        <v/>
      </c>
    </row>
    <row r="14" ht="20" customHeight="1">
      <c r="A14" s="22">
        <f>SUMPRODUCT((($C$12:$C$16*1000+$E$12:$E$16)&gt;($C14*1000+$E14))*1)+1</f>
        <v/>
      </c>
      <c r="B14" s="32">
        <f>Config!$A$8</f>
        <v/>
      </c>
      <c r="C14" s="24">
        <f>SUM(Punti!$F$3:$F$82)</f>
        <v/>
      </c>
      <c r="D14" s="25">
        <f>COUNTIF(Punti!$F$3:$F$82,Config!$D$7)+COUNTIF(Punti!$F$3:$F$82,Config!$D$6)</f>
        <v/>
      </c>
      <c r="E14" s="25">
        <f>COUNTIF(Punti!$F$3:$F$82,Config!$D$6)</f>
        <v/>
      </c>
      <c r="F14" s="25">
        <f>SUMPRODUCT(((Pronostici!$K$3:$K$82&lt;&gt;"")+(Pronostici!$L$3:$L$82&lt;&gt;""))*1&gt;0)</f>
        <v/>
      </c>
      <c r="G14" s="26">
        <f>IF($L$6=0,0,$C14/$L$6)</f>
        <v/>
      </c>
      <c r="H14" s="25">
        <f>SUMPRODUCT(($E$33:$E$40=$H$33:$H$40)*($H$33:$H$40&gt;0)*($B$33:$B$40="Completata"))</f>
        <v/>
      </c>
    </row>
    <row r="15" ht="20" customHeight="1">
      <c r="A15" s="27">
        <f>SUMPRODUCT((($C$12:$C$16*1000+$E$12:$E$16)&gt;($C15*1000+$E15))*1)+1</f>
        <v/>
      </c>
      <c r="B15" s="33">
        <f>Config!$A$9</f>
        <v/>
      </c>
      <c r="C15" s="29">
        <f>SUM(Punti!$G$3:$G$82)</f>
        <v/>
      </c>
      <c r="D15" s="30">
        <f>COUNTIF(Punti!$G$3:$G$82,Config!$D$7)+COUNTIF(Punti!$G$3:$G$82,Config!$D$6)</f>
        <v/>
      </c>
      <c r="E15" s="30">
        <f>COUNTIF(Punti!$G$3:$G$82,Config!$D$6)</f>
        <v/>
      </c>
      <c r="F15" s="30">
        <f>SUMPRODUCT(((Pronostici!$N$3:$N$82&lt;&gt;"")+(Pronostici!$O$3:$O$82&lt;&gt;""))*1&gt;0)</f>
        <v/>
      </c>
      <c r="G15" s="31">
        <f>IF($L$6=0,0,$C15/$L$6)</f>
        <v/>
      </c>
      <c r="H15" s="30">
        <f>SUMPRODUCT(($F$33:$F$40=$H$33:$H$40)*($H$33:$H$40&gt;0)*($B$33:$B$40="Completata"))</f>
        <v/>
      </c>
    </row>
    <row r="16" ht="20" customHeight="1">
      <c r="A16" s="22">
        <f>SUMPRODUCT((($C$12:$C$16*1000+$E$12:$E$16)&gt;($C16*1000+$E16))*1)+1</f>
        <v/>
      </c>
      <c r="B16" s="34">
        <f>Config!$A$10</f>
        <v/>
      </c>
      <c r="C16" s="24">
        <f>SUM(Punti!$H$3:$H$82)</f>
        <v/>
      </c>
      <c r="D16" s="25">
        <f>COUNTIF(Punti!$H$3:$H$82,Config!$D$7)+COUNTIF(Punti!$H$3:$H$82,Config!$D$6)</f>
        <v/>
      </c>
      <c r="E16" s="25">
        <f>COUNTIF(Punti!$H$3:$H$82,Config!$D$6)</f>
        <v/>
      </c>
      <c r="F16" s="25">
        <f>SUMPRODUCT(((Pronostici!$Q$3:$Q$82&lt;&gt;"")+(Pronostici!$R$3:$R$82&lt;&gt;""))*1&gt;0)</f>
        <v/>
      </c>
      <c r="G16" s="26">
        <f>IF($L$6=0,0,$C16/$L$6)</f>
        <v/>
      </c>
      <c r="H16" s="25">
        <f>SUMPRODUCT(($G$33:$G$40=$H$33:$H$40)*($H$33:$H$40&gt;0)*($B$33:$B$40="Completata"))</f>
        <v/>
      </c>
    </row>
    <row r="17">
      <c r="A17" s="35" t="inlineStr">
        <is>
          <t>A parita' di punti passa avanti chi ha piu' risultati esatti. Le giornate vinte contano solo quelle completate.</t>
        </is>
      </c>
    </row>
    <row r="18">
      <c r="A18" s="36" t="inlineStr">
        <is>
          <t>ULTIMA GIORNATA COMPLETATA</t>
        </is>
      </c>
      <c r="C18" s="37">
        <f>IF($L$7="-","nessuna ancora","Giornata "&amp;$L$7)</f>
        <v/>
      </c>
      <c r="K18" s="36" t="inlineStr">
        <is>
          <t>PROSSIMA GIORNATA</t>
        </is>
      </c>
    </row>
    <row r="19">
      <c r="B19" s="38" t="inlineStr">
        <is>
          <t>Giocatore</t>
        </is>
      </c>
      <c r="C19" s="38" t="inlineStr">
        <is>
          <t>Punti</t>
        </is>
      </c>
      <c r="D19" s="38" t="inlineStr"/>
      <c r="K19" s="39">
        <f>IF($L$8="-","Stagione completata","Giornata "&amp;$L$8&amp;" - partite da pronosticare")</f>
        <v/>
      </c>
      <c r="N19" s="38" t="inlineStr">
        <is>
          <t>Pronostici</t>
        </is>
      </c>
      <c r="O19" s="38" t="inlineStr">
        <is>
          <t>ok</t>
        </is>
      </c>
    </row>
    <row r="20">
      <c r="B20" s="23">
        <f>Config!$A$6</f>
        <v/>
      </c>
      <c r="C20" s="24">
        <f>IF($L$7="-","-",IFERROR(INDEX($C$33:$C$40,MATCH($L$7,$A$33:$A$40,0)),"-"))</f>
        <v/>
      </c>
      <c r="D20" s="40">
        <f>IF($L$7="-","",IF(IFERROR(INDEX($C$33:$C$40,MATCH($L$7,$A$33:$A$40,0)),0)=IFERROR(INDEX($H$33:$H$40,MATCH($L$7,$A$33:$A$40,0)),-1),"RE DELLA GIORNATA",""))</f>
        <v/>
      </c>
      <c r="E20" s="41" t="n"/>
      <c r="K20" s="42">
        <f>IFERROR(INDEX(Partite!$E$3:$E$82,MATCH("G"&amp;TEXT($L$8,"00")&amp;"-"&amp;TEXT(1,"00"),Partite!$A$3:$A$82,0))&amp;"   -   "&amp;INDEX(Partite!$F$3:$F$82,MATCH("G"&amp;TEXT($L$8,"00")&amp;"-"&amp;TEXT(1,"00"),Partite!$A$3:$A$82,0)),"-")</f>
        <v/>
      </c>
      <c r="L20" s="43" t="n"/>
      <c r="M20" s="43" t="n"/>
      <c r="N20" s="44">
        <f>Config!$A$6</f>
        <v/>
      </c>
      <c r="O20" s="45">
        <f>IF($L$8="-","-",SUMPRODUCT((Pronostici!$B$3:$B$82=$L$8)*(((Pronostici!$E$3:$E$82&lt;&gt;"")+(Pronostici!$F$3:$F$82&lt;&gt;""))&gt;0))&amp;"/10")</f>
        <v/>
      </c>
    </row>
    <row r="21">
      <c r="B21" s="28">
        <f>Config!$A$7</f>
        <v/>
      </c>
      <c r="C21" s="24">
        <f>IF($L$7="-","-",IFERROR(INDEX($D$33:$D$40,MATCH($L$7,$A$33:$A$40,0)),"-"))</f>
        <v/>
      </c>
      <c r="D21" s="40">
        <f>IF($L$7="-","",IF(IFERROR(INDEX($D$33:$D$40,MATCH($L$7,$A$33:$A$40,0)),0)=IFERROR(INDEX($H$33:$H$40,MATCH($L$7,$A$33:$A$40,0)),-1),"RE DELLA GIORNATA",""))</f>
        <v/>
      </c>
      <c r="E21" s="41" t="n"/>
      <c r="K21" s="46">
        <f>IFERROR(INDEX(Partite!$E$3:$E$82,MATCH("G"&amp;TEXT($L$8,"00")&amp;"-"&amp;TEXT(2,"00"),Partite!$A$3:$A$82,0))&amp;"   -   "&amp;INDEX(Partite!$F$3:$F$82,MATCH("G"&amp;TEXT($L$8,"00")&amp;"-"&amp;TEXT(2,"00"),Partite!$A$3:$A$82,0)),"-")</f>
        <v/>
      </c>
      <c r="L21" s="47" t="n"/>
      <c r="M21" s="47" t="n"/>
      <c r="N21" s="48">
        <f>Config!$A$7</f>
        <v/>
      </c>
      <c r="O21" s="45">
        <f>IF($L$8="-","-",SUMPRODUCT((Pronostici!$B$3:$B$82=$L$8)*(((Pronostici!$H$3:$H$82&lt;&gt;"")+(Pronostici!$I$3:$I$82&lt;&gt;""))&gt;0))&amp;"/10")</f>
        <v/>
      </c>
    </row>
    <row r="22">
      <c r="B22" s="32">
        <f>Config!$A$8</f>
        <v/>
      </c>
      <c r="C22" s="24">
        <f>IF($L$7="-","-",IFERROR(INDEX($E$33:$E$40,MATCH($L$7,$A$33:$A$40,0)),"-"))</f>
        <v/>
      </c>
      <c r="D22" s="40">
        <f>IF($L$7="-","",IF(IFERROR(INDEX($E$33:$E$40,MATCH($L$7,$A$33:$A$40,0)),0)=IFERROR(INDEX($H$33:$H$40,MATCH($L$7,$A$33:$A$40,0)),-1),"RE DELLA GIORNATA",""))</f>
        <v/>
      </c>
      <c r="E22" s="41" t="n"/>
      <c r="K22" s="42">
        <f>IFERROR(INDEX(Partite!$E$3:$E$82,MATCH("G"&amp;TEXT($L$8,"00")&amp;"-"&amp;TEXT(3,"00"),Partite!$A$3:$A$82,0))&amp;"   -   "&amp;INDEX(Partite!$F$3:$F$82,MATCH("G"&amp;TEXT($L$8,"00")&amp;"-"&amp;TEXT(3,"00"),Partite!$A$3:$A$82,0)),"-")</f>
        <v/>
      </c>
      <c r="L22" s="43" t="n"/>
      <c r="M22" s="43" t="n"/>
      <c r="N22" s="49">
        <f>Config!$A$8</f>
        <v/>
      </c>
      <c r="O22" s="45">
        <f>IF($L$8="-","-",SUMPRODUCT((Pronostici!$B$3:$B$82=$L$8)*(((Pronostici!$K$3:$K$82&lt;&gt;"")+(Pronostici!$L$3:$L$82&lt;&gt;""))&gt;0))&amp;"/10")</f>
        <v/>
      </c>
    </row>
    <row r="23">
      <c r="B23" s="33">
        <f>Config!$A$9</f>
        <v/>
      </c>
      <c r="C23" s="24">
        <f>IF($L$7="-","-",IFERROR(INDEX($F$33:$F$40,MATCH($L$7,$A$33:$A$40,0)),"-"))</f>
        <v/>
      </c>
      <c r="D23" s="40">
        <f>IF($L$7="-","",IF(IFERROR(INDEX($F$33:$F$40,MATCH($L$7,$A$33:$A$40,0)),0)=IFERROR(INDEX($H$33:$H$40,MATCH($L$7,$A$33:$A$40,0)),-1),"RE DELLA GIORNATA",""))</f>
        <v/>
      </c>
      <c r="E23" s="41" t="n"/>
      <c r="K23" s="46">
        <f>IFERROR(INDEX(Partite!$E$3:$E$82,MATCH("G"&amp;TEXT($L$8,"00")&amp;"-"&amp;TEXT(4,"00"),Partite!$A$3:$A$82,0))&amp;"   -   "&amp;INDEX(Partite!$F$3:$F$82,MATCH("G"&amp;TEXT($L$8,"00")&amp;"-"&amp;TEXT(4,"00"),Partite!$A$3:$A$82,0)),"-")</f>
        <v/>
      </c>
      <c r="L23" s="47" t="n"/>
      <c r="M23" s="47" t="n"/>
      <c r="N23" s="50">
        <f>Config!$A$9</f>
        <v/>
      </c>
      <c r="O23" s="45">
        <f>IF($L$8="-","-",SUMPRODUCT((Pronostici!$B$3:$B$82=$L$8)*(((Pronostici!$N$3:$N$82&lt;&gt;"")+(Pronostici!$O$3:$O$82&lt;&gt;""))&gt;0))&amp;"/10")</f>
        <v/>
      </c>
    </row>
    <row r="24">
      <c r="B24" s="34">
        <f>Config!$A$10</f>
        <v/>
      </c>
      <c r="C24" s="24">
        <f>IF($L$7="-","-",IFERROR(INDEX($G$33:$G$40,MATCH($L$7,$A$33:$A$40,0)),"-"))</f>
        <v/>
      </c>
      <c r="D24" s="40">
        <f>IF($L$7="-","",IF(IFERROR(INDEX($G$33:$G$40,MATCH($L$7,$A$33:$A$40,0)),0)=IFERROR(INDEX($H$33:$H$40,MATCH($L$7,$A$33:$A$40,0)),-1),"RE DELLA GIORNATA",""))</f>
        <v/>
      </c>
      <c r="E24" s="41" t="n"/>
      <c r="K24" s="42">
        <f>IFERROR(INDEX(Partite!$E$3:$E$82,MATCH("G"&amp;TEXT($L$8,"00")&amp;"-"&amp;TEXT(5,"00"),Partite!$A$3:$A$82,0))&amp;"   -   "&amp;INDEX(Partite!$F$3:$F$82,MATCH("G"&amp;TEXT($L$8,"00")&amp;"-"&amp;TEXT(5,"00"),Partite!$A$3:$A$82,0)),"-")</f>
        <v/>
      </c>
      <c r="L24" s="43" t="n"/>
      <c r="M24" s="43" t="n"/>
      <c r="N24" s="51">
        <f>Config!$A$10</f>
        <v/>
      </c>
      <c r="O24" s="45">
        <f>IF($L$8="-","-",SUMPRODUCT((Pronostici!$B$3:$B$82=$L$8)*(((Pronostici!$Q$3:$Q$82&lt;&gt;"")+(Pronostici!$R$3:$R$82&lt;&gt;""))&gt;0))&amp;"/10")</f>
        <v/>
      </c>
    </row>
    <row r="25">
      <c r="K25" s="46">
        <f>IFERROR(INDEX(Partite!$E$3:$E$82,MATCH("G"&amp;TEXT($L$8,"00")&amp;"-"&amp;TEXT(6,"00"),Partite!$A$3:$A$82,0))&amp;"   -   "&amp;INDEX(Partite!$F$3:$F$82,MATCH("G"&amp;TEXT($L$8,"00")&amp;"-"&amp;TEXT(6,"00"),Partite!$A$3:$A$82,0)),"-")</f>
        <v/>
      </c>
      <c r="L25" s="47" t="n"/>
      <c r="M25" s="47" t="n"/>
      <c r="N25" s="35" t="inlineStr">
        <is>
          <t>chi e' sotto 10 non ha finito</t>
        </is>
      </c>
    </row>
    <row r="26">
      <c r="K26" s="42">
        <f>IFERROR(INDEX(Partite!$E$3:$E$82,MATCH("G"&amp;TEXT($L$8,"00")&amp;"-"&amp;TEXT(7,"00"),Partite!$A$3:$A$82,0))&amp;"   -   "&amp;INDEX(Partite!$F$3:$F$82,MATCH("G"&amp;TEXT($L$8,"00")&amp;"-"&amp;TEXT(7,"00"),Partite!$A$3:$A$82,0)),"-")</f>
        <v/>
      </c>
      <c r="L26" s="43" t="n"/>
      <c r="M26" s="43" t="n"/>
    </row>
    <row r="27">
      <c r="K27" s="46">
        <f>IFERROR(INDEX(Partite!$E$3:$E$82,MATCH("G"&amp;TEXT($L$8,"00")&amp;"-"&amp;TEXT(8,"00"),Partite!$A$3:$A$82,0))&amp;"   -   "&amp;INDEX(Partite!$F$3:$F$82,MATCH("G"&amp;TEXT($L$8,"00")&amp;"-"&amp;TEXT(8,"00"),Partite!$A$3:$A$82,0)),"-")</f>
        <v/>
      </c>
      <c r="L27" s="47" t="n"/>
      <c r="M27" s="47" t="n"/>
    </row>
    <row r="28">
      <c r="K28" s="42">
        <f>IFERROR(INDEX(Partite!$E$3:$E$82,MATCH("G"&amp;TEXT($L$8,"00")&amp;"-"&amp;TEXT(9,"00"),Partite!$A$3:$A$82,0))&amp;"   -   "&amp;INDEX(Partite!$F$3:$F$82,MATCH("G"&amp;TEXT($L$8,"00")&amp;"-"&amp;TEXT(9,"00"),Partite!$A$3:$A$82,0)),"-")</f>
        <v/>
      </c>
      <c r="L28" s="43" t="n"/>
      <c r="M28" s="43" t="n"/>
    </row>
    <row r="29">
      <c r="K29" s="46">
        <f>IFERROR(INDEX(Partite!$E$3:$E$82,MATCH("G"&amp;TEXT($L$8,"00")&amp;"-"&amp;TEXT(10,"00"),Partite!$A$3:$A$82,0))&amp;"   -   "&amp;INDEX(Partite!$F$3:$F$82,MATCH("G"&amp;TEXT($L$8,"00")&amp;"-"&amp;TEXT(10,"00"),Partite!$A$3:$A$82,0)),"-")</f>
        <v/>
      </c>
      <c r="L29" s="47" t="n"/>
      <c r="M29" s="47" t="n"/>
    </row>
    <row r="31">
      <c r="A31" s="36" t="inlineStr">
        <is>
          <t>PUNTI PER GIORNATA</t>
        </is>
      </c>
    </row>
    <row r="32">
      <c r="A32" s="38" t="inlineStr">
        <is>
          <t>G.</t>
        </is>
      </c>
      <c r="B32" s="38" t="inlineStr">
        <is>
          <t>Stato</t>
        </is>
      </c>
      <c r="C32" s="52">
        <f>Config!$A$6</f>
        <v/>
      </c>
      <c r="D32" s="53">
        <f>Config!$A$7</f>
        <v/>
      </c>
      <c r="E32" s="54">
        <f>Config!$A$8</f>
        <v/>
      </c>
      <c r="F32" s="55">
        <f>Config!$A$9</f>
        <v/>
      </c>
      <c r="G32" s="56">
        <f>Config!$A$10</f>
        <v/>
      </c>
      <c r="H32" s="57" t="inlineStr">
        <is>
          <t>Max</t>
        </is>
      </c>
      <c r="I32" s="58" t="inlineStr">
        <is>
          <t>Re della giornata</t>
        </is>
      </c>
      <c r="Q32" s="59" t="inlineStr">
        <is>
          <t>cumulati</t>
        </is>
      </c>
      <c r="R32" s="60">
        <f>Config!$A$6</f>
        <v/>
      </c>
      <c r="S32" s="60">
        <f>Config!$A$7</f>
        <v/>
      </c>
      <c r="T32" s="60">
        <f>Config!$A$8</f>
        <v/>
      </c>
      <c r="U32" s="60">
        <f>Config!$A$9</f>
        <v/>
      </c>
      <c r="V32" s="60">
        <f>Config!$A$10</f>
        <v/>
      </c>
    </row>
    <row r="33">
      <c r="A33" s="22" t="n">
        <v>2</v>
      </c>
      <c r="B33" s="43">
        <f>IF(COUNTIFS(Partite!$B$3:$B$82,$A33,Partite!$E$3:$E$82,"&lt;&gt;")=0,"Calendario mancante",IF(COUNTIFS(Partite!$B$3:$B$82,$A33,Partite!$K$3:$K$82,"Giocata")=0,"Non giocata",IF(COUNTIFS(Partite!$B$3:$B$82,$A33,Partite!$K$3:$K$82,"Giocata")=COUNTIFS(Partite!$B$3:$B$82,$A33,Partite!$E$3:$E$82,"&lt;&gt;"),"Completata","In corso")))</f>
        <v/>
      </c>
      <c r="C33" s="25">
        <f>SUMIF(Punti!$B$3:$B$82,$A33,Punti!$D$3:$D$82)</f>
        <v/>
      </c>
      <c r="D33" s="25">
        <f>SUMIF(Punti!$B$3:$B$82,$A33,Punti!$E$3:$E$82)</f>
        <v/>
      </c>
      <c r="E33" s="25">
        <f>SUMIF(Punti!$B$3:$B$82,$A33,Punti!$F$3:$F$82)</f>
        <v/>
      </c>
      <c r="F33" s="25">
        <f>SUMIF(Punti!$B$3:$B$82,$A33,Punti!$G$3:$G$82)</f>
        <v/>
      </c>
      <c r="G33" s="25">
        <f>SUMIF(Punti!$B$3:$B$82,$A33,Punti!$H$3:$H$82)</f>
        <v/>
      </c>
      <c r="H33" s="61">
        <f>MAX($C33:$G33)</f>
        <v/>
      </c>
      <c r="I33" s="62">
        <f>IF($H33&lt;=0,"-",INDEX($C$32:$G$32,MATCH($H33,$C33:$G33,0))&amp;IF(COUNTIF($C33:$G33,$H33)&gt;1," (a pari)","")&amp;IF($B33="Completata",""," - in corso"))</f>
        <v/>
      </c>
      <c r="R33" s="63">
        <f>C33</f>
        <v/>
      </c>
      <c r="S33" s="63">
        <f>D33</f>
        <v/>
      </c>
      <c r="T33" s="63">
        <f>E33</f>
        <v/>
      </c>
      <c r="U33" s="63">
        <f>F33</f>
        <v/>
      </c>
      <c r="V33" s="63">
        <f>G33</f>
        <v/>
      </c>
    </row>
    <row r="34">
      <c r="A34" s="27" t="n">
        <v>3</v>
      </c>
      <c r="B34" s="47">
        <f>IF(COUNTIFS(Partite!$B$3:$B$82,$A34,Partite!$E$3:$E$82,"&lt;&gt;")=0,"Calendario mancante",IF(COUNTIFS(Partite!$B$3:$B$82,$A34,Partite!$K$3:$K$82,"Giocata")=0,"Non giocata",IF(COUNTIFS(Partite!$B$3:$B$82,$A34,Partite!$K$3:$K$82,"Giocata")=COUNTIFS(Partite!$B$3:$B$82,$A34,Partite!$E$3:$E$82,"&lt;&gt;"),"Completata","In corso")))</f>
        <v/>
      </c>
      <c r="C34" s="30">
        <f>SUMIF(Punti!$B$3:$B$82,$A34,Punti!$D$3:$D$82)</f>
        <v/>
      </c>
      <c r="D34" s="30">
        <f>SUMIF(Punti!$B$3:$B$82,$A34,Punti!$E$3:$E$82)</f>
        <v/>
      </c>
      <c r="E34" s="30">
        <f>SUMIF(Punti!$B$3:$B$82,$A34,Punti!$F$3:$F$82)</f>
        <v/>
      </c>
      <c r="F34" s="30">
        <f>SUMIF(Punti!$B$3:$B$82,$A34,Punti!$G$3:$G$82)</f>
        <v/>
      </c>
      <c r="G34" s="30">
        <f>SUMIF(Punti!$B$3:$B$82,$A34,Punti!$H$3:$H$82)</f>
        <v/>
      </c>
      <c r="H34" s="61">
        <f>MAX($C34:$G34)</f>
        <v/>
      </c>
      <c r="I34" s="64">
        <f>IF($H34&lt;=0,"-",INDEX($C$32:$G$32,MATCH($H34,$C34:$G34,0))&amp;IF(COUNTIF($C34:$G34,$H34)&gt;1," (a pari)","")&amp;IF($B34="Completata",""," - in corso"))</f>
        <v/>
      </c>
      <c r="R34" s="63">
        <f>R33+C34</f>
        <v/>
      </c>
      <c r="S34" s="63">
        <f>S33+D34</f>
        <v/>
      </c>
      <c r="T34" s="63">
        <f>T33+E34</f>
        <v/>
      </c>
      <c r="U34" s="63">
        <f>U33+F34</f>
        <v/>
      </c>
      <c r="V34" s="63">
        <f>V33+G34</f>
        <v/>
      </c>
    </row>
    <row r="35">
      <c r="A35" s="22" t="n">
        <v>4</v>
      </c>
      <c r="B35" s="43">
        <f>IF(COUNTIFS(Partite!$B$3:$B$82,$A35,Partite!$E$3:$E$82,"&lt;&gt;")=0,"Calendario mancante",IF(COUNTIFS(Partite!$B$3:$B$82,$A35,Partite!$K$3:$K$82,"Giocata")=0,"Non giocata",IF(COUNTIFS(Partite!$B$3:$B$82,$A35,Partite!$K$3:$K$82,"Giocata")=COUNTIFS(Partite!$B$3:$B$82,$A35,Partite!$E$3:$E$82,"&lt;&gt;"),"Completata","In corso")))</f>
        <v/>
      </c>
      <c r="C35" s="25">
        <f>SUMIF(Punti!$B$3:$B$82,$A35,Punti!$D$3:$D$82)</f>
        <v/>
      </c>
      <c r="D35" s="25">
        <f>SUMIF(Punti!$B$3:$B$82,$A35,Punti!$E$3:$E$82)</f>
        <v/>
      </c>
      <c r="E35" s="25">
        <f>SUMIF(Punti!$B$3:$B$82,$A35,Punti!$F$3:$F$82)</f>
        <v/>
      </c>
      <c r="F35" s="25">
        <f>SUMIF(Punti!$B$3:$B$82,$A35,Punti!$G$3:$G$82)</f>
        <v/>
      </c>
      <c r="G35" s="25">
        <f>SUMIF(Punti!$B$3:$B$82,$A35,Punti!$H$3:$H$82)</f>
        <v/>
      </c>
      <c r="H35" s="61">
        <f>MAX($C35:$G35)</f>
        <v/>
      </c>
      <c r="I35" s="62">
        <f>IF($H35&lt;=0,"-",INDEX($C$32:$G$32,MATCH($H35,$C35:$G35,0))&amp;IF(COUNTIF($C35:$G35,$H35)&gt;1," (a pari)","")&amp;IF($B35="Completata",""," - in corso"))</f>
        <v/>
      </c>
      <c r="R35" s="63">
        <f>R34+C35</f>
        <v/>
      </c>
      <c r="S35" s="63">
        <f>S34+D35</f>
        <v/>
      </c>
      <c r="T35" s="63">
        <f>T34+E35</f>
        <v/>
      </c>
      <c r="U35" s="63">
        <f>U34+F35</f>
        <v/>
      </c>
      <c r="V35" s="63">
        <f>V34+G35</f>
        <v/>
      </c>
    </row>
    <row r="36">
      <c r="A36" s="27" t="n">
        <v>5</v>
      </c>
      <c r="B36" s="47">
        <f>IF(COUNTIFS(Partite!$B$3:$B$82,$A36,Partite!$E$3:$E$82,"&lt;&gt;")=0,"Calendario mancante",IF(COUNTIFS(Partite!$B$3:$B$82,$A36,Partite!$K$3:$K$82,"Giocata")=0,"Non giocata",IF(COUNTIFS(Partite!$B$3:$B$82,$A36,Partite!$K$3:$K$82,"Giocata")=COUNTIFS(Partite!$B$3:$B$82,$A36,Partite!$E$3:$E$82,"&lt;&gt;"),"Completata","In corso")))</f>
        <v/>
      </c>
      <c r="C36" s="30">
        <f>SUMIF(Punti!$B$3:$B$82,$A36,Punti!$D$3:$D$82)</f>
        <v/>
      </c>
      <c r="D36" s="30">
        <f>SUMIF(Punti!$B$3:$B$82,$A36,Punti!$E$3:$E$82)</f>
        <v/>
      </c>
      <c r="E36" s="30">
        <f>SUMIF(Punti!$B$3:$B$82,$A36,Punti!$F$3:$F$82)</f>
        <v/>
      </c>
      <c r="F36" s="30">
        <f>SUMIF(Punti!$B$3:$B$82,$A36,Punti!$G$3:$G$82)</f>
        <v/>
      </c>
      <c r="G36" s="30">
        <f>SUMIF(Punti!$B$3:$B$82,$A36,Punti!$H$3:$H$82)</f>
        <v/>
      </c>
      <c r="H36" s="61">
        <f>MAX($C36:$G36)</f>
        <v/>
      </c>
      <c r="I36" s="64">
        <f>IF($H36&lt;=0,"-",INDEX($C$32:$G$32,MATCH($H36,$C36:$G36,0))&amp;IF(COUNTIF($C36:$G36,$H36)&gt;1," (a pari)","")&amp;IF($B36="Completata",""," - in corso"))</f>
        <v/>
      </c>
      <c r="R36" s="63">
        <f>R35+C36</f>
        <v/>
      </c>
      <c r="S36" s="63">
        <f>S35+D36</f>
        <v/>
      </c>
      <c r="T36" s="63">
        <f>T35+E36</f>
        <v/>
      </c>
      <c r="U36" s="63">
        <f>U35+F36</f>
        <v/>
      </c>
      <c r="V36" s="63">
        <f>V35+G36</f>
        <v/>
      </c>
    </row>
    <row r="37">
      <c r="A37" s="22" t="n">
        <v>6</v>
      </c>
      <c r="B37" s="43">
        <f>IF(COUNTIFS(Partite!$B$3:$B$82,$A37,Partite!$E$3:$E$82,"&lt;&gt;")=0,"Calendario mancante",IF(COUNTIFS(Partite!$B$3:$B$82,$A37,Partite!$K$3:$K$82,"Giocata")=0,"Non giocata",IF(COUNTIFS(Partite!$B$3:$B$82,$A37,Partite!$K$3:$K$82,"Giocata")=COUNTIFS(Partite!$B$3:$B$82,$A37,Partite!$E$3:$E$82,"&lt;&gt;"),"Completata","In corso")))</f>
        <v/>
      </c>
      <c r="C37" s="25">
        <f>SUMIF(Punti!$B$3:$B$82,$A37,Punti!$D$3:$D$82)</f>
        <v/>
      </c>
      <c r="D37" s="25">
        <f>SUMIF(Punti!$B$3:$B$82,$A37,Punti!$E$3:$E$82)</f>
        <v/>
      </c>
      <c r="E37" s="25">
        <f>SUMIF(Punti!$B$3:$B$82,$A37,Punti!$F$3:$F$82)</f>
        <v/>
      </c>
      <c r="F37" s="25">
        <f>SUMIF(Punti!$B$3:$B$82,$A37,Punti!$G$3:$G$82)</f>
        <v/>
      </c>
      <c r="G37" s="25">
        <f>SUMIF(Punti!$B$3:$B$82,$A37,Punti!$H$3:$H$82)</f>
        <v/>
      </c>
      <c r="H37" s="61">
        <f>MAX($C37:$G37)</f>
        <v/>
      </c>
      <c r="I37" s="62">
        <f>IF($H37&lt;=0,"-",INDEX($C$32:$G$32,MATCH($H37,$C37:$G37,0))&amp;IF(COUNTIF($C37:$G37,$H37)&gt;1," (a pari)","")&amp;IF($B37="Completata",""," - in corso"))</f>
        <v/>
      </c>
      <c r="R37" s="63">
        <f>R36+C37</f>
        <v/>
      </c>
      <c r="S37" s="63">
        <f>S36+D37</f>
        <v/>
      </c>
      <c r="T37" s="63">
        <f>T36+E37</f>
        <v/>
      </c>
      <c r="U37" s="63">
        <f>U36+F37</f>
        <v/>
      </c>
      <c r="V37" s="63">
        <f>V36+G37</f>
        <v/>
      </c>
    </row>
    <row r="38">
      <c r="A38" s="27" t="n">
        <v>7</v>
      </c>
      <c r="B38" s="47">
        <f>IF(COUNTIFS(Partite!$B$3:$B$82,$A38,Partite!$E$3:$E$82,"&lt;&gt;")=0,"Calendario mancante",IF(COUNTIFS(Partite!$B$3:$B$82,$A38,Partite!$K$3:$K$82,"Giocata")=0,"Non giocata",IF(COUNTIFS(Partite!$B$3:$B$82,$A38,Partite!$K$3:$K$82,"Giocata")=COUNTIFS(Partite!$B$3:$B$82,$A38,Partite!$E$3:$E$82,"&lt;&gt;"),"Completata","In corso")))</f>
        <v/>
      </c>
      <c r="C38" s="30">
        <f>SUMIF(Punti!$B$3:$B$82,$A38,Punti!$D$3:$D$82)</f>
        <v/>
      </c>
      <c r="D38" s="30">
        <f>SUMIF(Punti!$B$3:$B$82,$A38,Punti!$E$3:$E$82)</f>
        <v/>
      </c>
      <c r="E38" s="30">
        <f>SUMIF(Punti!$B$3:$B$82,$A38,Punti!$F$3:$F$82)</f>
        <v/>
      </c>
      <c r="F38" s="30">
        <f>SUMIF(Punti!$B$3:$B$82,$A38,Punti!$G$3:$G$82)</f>
        <v/>
      </c>
      <c r="G38" s="30">
        <f>SUMIF(Punti!$B$3:$B$82,$A38,Punti!$H$3:$H$82)</f>
        <v/>
      </c>
      <c r="H38" s="61">
        <f>MAX($C38:$G38)</f>
        <v/>
      </c>
      <c r="I38" s="64">
        <f>IF($H38&lt;=0,"-",INDEX($C$32:$G$32,MATCH($H38,$C38:$G38,0))&amp;IF(COUNTIF($C38:$G38,$H38)&gt;1," (a pari)","")&amp;IF($B38="Completata",""," - in corso"))</f>
        <v/>
      </c>
      <c r="R38" s="63">
        <f>R37+C38</f>
        <v/>
      </c>
      <c r="S38" s="63">
        <f>S37+D38</f>
        <v/>
      </c>
      <c r="T38" s="63">
        <f>T37+E38</f>
        <v/>
      </c>
      <c r="U38" s="63">
        <f>U37+F38</f>
        <v/>
      </c>
      <c r="V38" s="63">
        <f>V37+G38</f>
        <v/>
      </c>
    </row>
    <row r="39">
      <c r="A39" s="22" t="n">
        <v>8</v>
      </c>
      <c r="B39" s="43">
        <f>IF(COUNTIFS(Partite!$B$3:$B$82,$A39,Partite!$E$3:$E$82,"&lt;&gt;")=0,"Calendario mancante",IF(COUNTIFS(Partite!$B$3:$B$82,$A39,Partite!$K$3:$K$82,"Giocata")=0,"Non giocata",IF(COUNTIFS(Partite!$B$3:$B$82,$A39,Partite!$K$3:$K$82,"Giocata")=COUNTIFS(Partite!$B$3:$B$82,$A39,Partite!$E$3:$E$82,"&lt;&gt;"),"Completata","In corso")))</f>
        <v/>
      </c>
      <c r="C39" s="25">
        <f>SUMIF(Punti!$B$3:$B$82,$A39,Punti!$D$3:$D$82)</f>
        <v/>
      </c>
      <c r="D39" s="25">
        <f>SUMIF(Punti!$B$3:$B$82,$A39,Punti!$E$3:$E$82)</f>
        <v/>
      </c>
      <c r="E39" s="25">
        <f>SUMIF(Punti!$B$3:$B$82,$A39,Punti!$F$3:$F$82)</f>
        <v/>
      </c>
      <c r="F39" s="25">
        <f>SUMIF(Punti!$B$3:$B$82,$A39,Punti!$G$3:$G$82)</f>
        <v/>
      </c>
      <c r="G39" s="25">
        <f>SUMIF(Punti!$B$3:$B$82,$A39,Punti!$H$3:$H$82)</f>
        <v/>
      </c>
      <c r="H39" s="61">
        <f>MAX($C39:$G39)</f>
        <v/>
      </c>
      <c r="I39" s="62">
        <f>IF($H39&lt;=0,"-",INDEX($C$32:$G$32,MATCH($H39,$C39:$G39,0))&amp;IF(COUNTIF($C39:$G39,$H39)&gt;1," (a pari)","")&amp;IF($B39="Completata",""," - in corso"))</f>
        <v/>
      </c>
      <c r="R39" s="63">
        <f>R38+C39</f>
        <v/>
      </c>
      <c r="S39" s="63">
        <f>S38+D39</f>
        <v/>
      </c>
      <c r="T39" s="63">
        <f>T38+E39</f>
        <v/>
      </c>
      <c r="U39" s="63">
        <f>U38+F39</f>
        <v/>
      </c>
      <c r="V39" s="63">
        <f>V38+G39</f>
        <v/>
      </c>
    </row>
    <row r="40">
      <c r="A40" s="27" t="n">
        <v>9</v>
      </c>
      <c r="B40" s="47">
        <f>IF(COUNTIFS(Partite!$B$3:$B$82,$A40,Partite!$E$3:$E$82,"&lt;&gt;")=0,"Calendario mancante",IF(COUNTIFS(Partite!$B$3:$B$82,$A40,Partite!$K$3:$K$82,"Giocata")=0,"Non giocata",IF(COUNTIFS(Partite!$B$3:$B$82,$A40,Partite!$K$3:$K$82,"Giocata")=COUNTIFS(Partite!$B$3:$B$82,$A40,Partite!$E$3:$E$82,"&lt;&gt;"),"Completata","In corso")))</f>
        <v/>
      </c>
      <c r="C40" s="30">
        <f>SUMIF(Punti!$B$3:$B$82,$A40,Punti!$D$3:$D$82)</f>
        <v/>
      </c>
      <c r="D40" s="30">
        <f>SUMIF(Punti!$B$3:$B$82,$A40,Punti!$E$3:$E$82)</f>
        <v/>
      </c>
      <c r="E40" s="30">
        <f>SUMIF(Punti!$B$3:$B$82,$A40,Punti!$F$3:$F$82)</f>
        <v/>
      </c>
      <c r="F40" s="30">
        <f>SUMIF(Punti!$B$3:$B$82,$A40,Punti!$G$3:$G$82)</f>
        <v/>
      </c>
      <c r="G40" s="30">
        <f>SUMIF(Punti!$B$3:$B$82,$A40,Punti!$H$3:$H$82)</f>
        <v/>
      </c>
      <c r="H40" s="61">
        <f>MAX($C40:$G40)</f>
        <v/>
      </c>
      <c r="I40" s="64">
        <f>IF($H40&lt;=0,"-",INDEX($C$32:$G$32,MATCH($H40,$C40:$G40,0))&amp;IF(COUNTIF($C40:$G40,$H40)&gt;1," (a pari)","")&amp;IF($B40="Completata",""," - in corso"))</f>
        <v/>
      </c>
      <c r="R40" s="63">
        <f>R39+C40</f>
        <v/>
      </c>
      <c r="S40" s="63">
        <f>S39+D40</f>
        <v/>
      </c>
      <c r="T40" s="63">
        <f>T39+E40</f>
        <v/>
      </c>
      <c r="U40" s="63">
        <f>U39+F40</f>
        <v/>
      </c>
      <c r="V40" s="63">
        <f>V39+G40</f>
        <v/>
      </c>
    </row>
  </sheetData>
  <mergeCells count="31">
    <mergeCell ref="D20:E20"/>
    <mergeCell ref="B7:C7"/>
    <mergeCell ref="K22:M22"/>
    <mergeCell ref="E5:F5"/>
    <mergeCell ref="D22:E22"/>
    <mergeCell ref="D21:E21"/>
    <mergeCell ref="H6:I6"/>
    <mergeCell ref="K27:M27"/>
    <mergeCell ref="K23:M23"/>
    <mergeCell ref="A1:I2"/>
    <mergeCell ref="E6:F6"/>
    <mergeCell ref="K19:M19"/>
    <mergeCell ref="K1:P2"/>
    <mergeCell ref="K28:M28"/>
    <mergeCell ref="H7:I7"/>
    <mergeCell ref="K25:M25"/>
    <mergeCell ref="A17:H17"/>
    <mergeCell ref="B6:C6"/>
    <mergeCell ref="K24:M24"/>
    <mergeCell ref="N25:O26"/>
    <mergeCell ref="D24:E24"/>
    <mergeCell ref="E7:F7"/>
    <mergeCell ref="B5:C5"/>
    <mergeCell ref="K20:M20"/>
    <mergeCell ref="D23:E23"/>
    <mergeCell ref="K26:M26"/>
    <mergeCell ref="K21:M21"/>
    <mergeCell ref="H5:I5"/>
    <mergeCell ref="A3:P3"/>
    <mergeCell ref="C18:D18"/>
    <mergeCell ref="K29:M29"/>
  </mergeCells>
  <conditionalFormatting sqref="C12:C16">
    <cfRule type="dataBar" priority="1">
      <dataBar showValue="1">
        <cfvo type="num" val="0"/>
        <cfvo type="max"/>
        <color rgb="00C8A24A"/>
      </dataBar>
    </cfRule>
  </conditionalFormatting>
  <conditionalFormatting sqref="C33:G40">
    <cfRule type="colorScale" priority="2">
      <colorScale>
        <cfvo type="num" val="0"/>
        <cfvo type="max"/>
        <color rgb="00FFFFFF"/>
        <color rgb="00BBDDBB"/>
      </colorScale>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B3A63"/>
    <outlinePr summaryBelow="1" summaryRight="1"/>
    <pageSetUpPr/>
  </sheetPr>
  <dimension ref="A1:K82"/>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2" customWidth="1" min="3" max="3"/>
    <col width="11" customWidth="1" min="4" max="4"/>
    <col width="16" customWidth="1" min="5" max="5"/>
    <col width="16" customWidth="1" min="6" max="6"/>
    <col width="10" customWidth="1" min="7" max="7"/>
    <col width="10" customWidth="1" min="8" max="8"/>
    <col width="8" customWidth="1" min="9" max="9"/>
    <col width="11" customWidth="1" min="10" max="10"/>
    <col width="20" customWidth="1" min="11" max="11"/>
  </cols>
  <sheetData>
    <row r="1" ht="22" customHeight="1">
      <c r="A1" s="65" t="inlineStr">
        <is>
          <t xml:space="preserve">  CALENDARIO</t>
        </is>
      </c>
      <c r="B1" s="2" t="n"/>
      <c r="C1" s="2" t="n"/>
      <c r="D1" s="2" t="n"/>
      <c r="E1" s="2" t="n"/>
      <c r="F1" s="2" t="n"/>
      <c r="G1" s="66" t="inlineStr">
        <is>
          <t>RISULTATO REALE</t>
        </is>
      </c>
      <c r="H1" s="5" t="n"/>
      <c r="I1" s="67" t="inlineStr">
        <is>
          <t xml:space="preserve">  CALCOLATO IN AUTOMATICO</t>
        </is>
      </c>
      <c r="J1" s="68" t="n"/>
      <c r="K1" s="68" t="n"/>
    </row>
    <row r="2" ht="26" customHeight="1">
      <c r="A2" s="21" t="inlineStr">
        <is>
          <t>ID</t>
        </is>
      </c>
      <c r="B2" s="21" t="inlineStr">
        <is>
          <t>G.</t>
        </is>
      </c>
      <c r="C2" s="21" t="inlineStr">
        <is>
          <t>Data</t>
        </is>
      </c>
      <c r="D2" s="21" t="inlineStr">
        <is>
          <t>Ora</t>
        </is>
      </c>
      <c r="E2" s="21" t="inlineStr">
        <is>
          <t>Casa</t>
        </is>
      </c>
      <c r="F2" s="21" t="inlineStr">
        <is>
          <t>Ospite</t>
        </is>
      </c>
      <c r="G2" s="21" t="inlineStr">
        <is>
          <t>Gol Casa</t>
        </is>
      </c>
      <c r="H2" s="21" t="inlineStr">
        <is>
          <t>Gol Ospite</t>
        </is>
      </c>
      <c r="I2" s="21" t="inlineStr">
        <is>
          <t>Segno</t>
        </is>
      </c>
      <c r="J2" s="21" t="inlineStr">
        <is>
          <t>Risultato</t>
        </is>
      </c>
      <c r="K2" s="21" t="inlineStr">
        <is>
          <t>Stato</t>
        </is>
      </c>
    </row>
    <row r="3">
      <c r="A3" s="69" t="inlineStr">
        <is>
          <t>G02-01</t>
        </is>
      </c>
      <c r="B3" s="25" t="n">
        <v>2</v>
      </c>
      <c r="C3" s="25" t="inlineStr">
        <is>
          <t>28/08/2026</t>
        </is>
      </c>
      <c r="D3" s="25" t="inlineStr">
        <is>
          <t>20:45</t>
        </is>
      </c>
      <c r="E3" s="70" t="inlineStr">
        <is>
          <t>Milan</t>
        </is>
      </c>
      <c r="F3" s="70" t="inlineStr">
        <is>
          <t>Venezia</t>
        </is>
      </c>
      <c r="G3" s="71" t="n">
        <v>2</v>
      </c>
      <c r="H3" s="71" t="n">
        <v>0</v>
      </c>
      <c r="I3" s="72">
        <f>IF(OR($G3="",$H3=""),"",IF($G3&gt;$H3,"1",IF($G3=$H3,"X","2")))</f>
        <v/>
      </c>
      <c r="J3" s="25">
        <f>IF(OR($G3="",$H3=""),"",$G3&amp;"-"&amp;$H3)</f>
        <v/>
      </c>
      <c r="K3" s="73">
        <f>IF($E3="","Calendario da inserire",IF(OR($G3="",$H3=""),"Da giocare","Giocata"))</f>
        <v/>
      </c>
    </row>
    <row r="4">
      <c r="A4" s="69" t="inlineStr">
        <is>
          <t>G02-02</t>
        </is>
      </c>
      <c r="B4" s="25" t="n">
        <v>2</v>
      </c>
      <c r="C4" s="25" t="inlineStr">
        <is>
          <t>29/08/2026</t>
        </is>
      </c>
      <c r="D4" s="25" t="inlineStr">
        <is>
          <t>18:30</t>
        </is>
      </c>
      <c r="E4" s="70" t="inlineStr">
        <is>
          <t>Fiorentina</t>
        </is>
      </c>
      <c r="F4" s="70" t="inlineStr">
        <is>
          <t>Frosinone</t>
        </is>
      </c>
      <c r="G4" s="71" t="n">
        <v>0</v>
      </c>
      <c r="H4" s="71" t="n">
        <v>3</v>
      </c>
      <c r="I4" s="72">
        <f>IF(OR($G4="",$H4=""),"",IF($G4&gt;$H4,"1",IF($G4=$H4,"X","2")))</f>
        <v/>
      </c>
      <c r="J4" s="25">
        <f>IF(OR($G4="",$H4=""),"",$G4&amp;"-"&amp;$H4)</f>
        <v/>
      </c>
      <c r="K4" s="73">
        <f>IF($E4="","Calendario da inserire",IF(OR($G4="",$H4=""),"Da giocare","Giocata"))</f>
        <v/>
      </c>
    </row>
    <row r="5">
      <c r="A5" s="69" t="inlineStr">
        <is>
          <t>G02-03</t>
        </is>
      </c>
      <c r="B5" s="25" t="n">
        <v>2</v>
      </c>
      <c r="C5" s="25" t="inlineStr">
        <is>
          <t>29/08/2026</t>
        </is>
      </c>
      <c r="D5" s="25" t="inlineStr">
        <is>
          <t>18:30</t>
        </is>
      </c>
      <c r="E5" s="70" t="inlineStr">
        <is>
          <t>Monza</t>
        </is>
      </c>
      <c r="F5" s="70" t="inlineStr">
        <is>
          <t>Udinese</t>
        </is>
      </c>
      <c r="G5" s="71" t="n">
        <v>2</v>
      </c>
      <c r="H5" s="71" t="n">
        <v>3</v>
      </c>
      <c r="I5" s="72">
        <f>IF(OR($G5="",$H5=""),"",IF($G5&gt;$H5,"1",IF($G5=$H5,"X","2")))</f>
        <v/>
      </c>
      <c r="J5" s="25">
        <f>IF(OR($G5="",$H5=""),"",$G5&amp;"-"&amp;$H5)</f>
        <v/>
      </c>
      <c r="K5" s="73">
        <f>IF($E5="","Calendario da inserire",IF(OR($G5="",$H5=""),"Da giocare","Giocata"))</f>
        <v/>
      </c>
    </row>
    <row r="6">
      <c r="A6" s="69" t="inlineStr">
        <is>
          <t>G02-04</t>
        </is>
      </c>
      <c r="B6" s="25" t="n">
        <v>2</v>
      </c>
      <c r="C6" s="25" t="inlineStr">
        <is>
          <t>29/08/2026</t>
        </is>
      </c>
      <c r="D6" s="25" t="inlineStr">
        <is>
          <t>18:30</t>
        </is>
      </c>
      <c r="E6" s="70" t="inlineStr">
        <is>
          <t>Sassuolo</t>
        </is>
      </c>
      <c r="F6" s="70" t="inlineStr">
        <is>
          <t>Torino</t>
        </is>
      </c>
      <c r="G6" s="71" t="n">
        <v>2</v>
      </c>
      <c r="H6" s="71" t="n">
        <v>1</v>
      </c>
      <c r="I6" s="72">
        <f>IF(OR($G6="",$H6=""),"",IF($G6&gt;$H6,"1",IF($G6=$H6,"X","2")))</f>
        <v/>
      </c>
      <c r="J6" s="25">
        <f>IF(OR($G6="",$H6=""),"",$G6&amp;"-"&amp;$H6)</f>
        <v/>
      </c>
      <c r="K6" s="73">
        <f>IF($E6="","Calendario da inserire",IF(OR($G6="",$H6=""),"Da giocare","Giocata"))</f>
        <v/>
      </c>
    </row>
    <row r="7">
      <c r="A7" s="69" t="inlineStr">
        <is>
          <t>G02-05</t>
        </is>
      </c>
      <c r="B7" s="25" t="n">
        <v>2</v>
      </c>
      <c r="C7" s="25" t="inlineStr">
        <is>
          <t>29/08/2026</t>
        </is>
      </c>
      <c r="D7" s="25" t="inlineStr">
        <is>
          <t>20:45</t>
        </is>
      </c>
      <c r="E7" s="70" t="inlineStr">
        <is>
          <t>Juventus</t>
        </is>
      </c>
      <c r="F7" s="70" t="inlineStr">
        <is>
          <t>Parma</t>
        </is>
      </c>
      <c r="G7" s="71" t="n">
        <v>2</v>
      </c>
      <c r="H7" s="71" t="n">
        <v>0</v>
      </c>
      <c r="I7" s="72">
        <f>IF(OR($G7="",$H7=""),"",IF($G7&gt;$H7,"1",IF($G7=$H7,"X","2")))</f>
        <v/>
      </c>
      <c r="J7" s="25">
        <f>IF(OR($G7="",$H7=""),"",$G7&amp;"-"&amp;$H7)</f>
        <v/>
      </c>
      <c r="K7" s="73">
        <f>IF($E7="","Calendario da inserire",IF(OR($G7="",$H7=""),"Da giocare","Giocata"))</f>
        <v/>
      </c>
    </row>
    <row r="8">
      <c r="A8" s="69" t="inlineStr">
        <is>
          <t>G02-06</t>
        </is>
      </c>
      <c r="B8" s="25" t="n">
        <v>2</v>
      </c>
      <c r="C8" s="25" t="inlineStr">
        <is>
          <t>30/08/2026</t>
        </is>
      </c>
      <c r="D8" s="25" t="inlineStr">
        <is>
          <t>18:30</t>
        </is>
      </c>
      <c r="E8" s="70" t="inlineStr">
        <is>
          <t>Napoli</t>
        </is>
      </c>
      <c r="F8" s="70" t="inlineStr">
        <is>
          <t>Como</t>
        </is>
      </c>
      <c r="G8" s="71" t="n">
        <v>1</v>
      </c>
      <c r="H8" s="71" t="n">
        <v>2</v>
      </c>
      <c r="I8" s="72">
        <f>IF(OR($G8="",$H8=""),"",IF($G8&gt;$H8,"1",IF($G8=$H8,"X","2")))</f>
        <v/>
      </c>
      <c r="J8" s="25">
        <f>IF(OR($G8="",$H8=""),"",$G8&amp;"-"&amp;$H8)</f>
        <v/>
      </c>
      <c r="K8" s="73">
        <f>IF($E8="","Calendario da inserire",IF(OR($G8="",$H8=""),"Da giocare","Giocata"))</f>
        <v/>
      </c>
    </row>
    <row r="9">
      <c r="A9" s="69" t="inlineStr">
        <is>
          <t>G02-07</t>
        </is>
      </c>
      <c r="B9" s="25" t="n">
        <v>2</v>
      </c>
      <c r="C9" s="25" t="inlineStr">
        <is>
          <t>30/08/2026</t>
        </is>
      </c>
      <c r="D9" s="25" t="inlineStr">
        <is>
          <t>20:45</t>
        </is>
      </c>
      <c r="E9" s="70" t="inlineStr">
        <is>
          <t>Cagliari</t>
        </is>
      </c>
      <c r="F9" s="70" t="inlineStr">
        <is>
          <t>Inter</t>
        </is>
      </c>
      <c r="G9" s="71" t="n">
        <v>0</v>
      </c>
      <c r="H9" s="71" t="n">
        <v>1</v>
      </c>
      <c r="I9" s="72">
        <f>IF(OR($G9="",$H9=""),"",IF($G9&gt;$H9,"1",IF($G9=$H9,"X","2")))</f>
        <v/>
      </c>
      <c r="J9" s="25">
        <f>IF(OR($G9="",$H9=""),"",$G9&amp;"-"&amp;$H9)</f>
        <v/>
      </c>
      <c r="K9" s="73">
        <f>IF($E9="","Calendario da inserire",IF(OR($G9="",$H9=""),"Da giocare","Giocata"))</f>
        <v/>
      </c>
    </row>
    <row r="10">
      <c r="A10" s="69" t="inlineStr">
        <is>
          <t>G02-08</t>
        </is>
      </c>
      <c r="B10" s="25" t="n">
        <v>2</v>
      </c>
      <c r="C10" s="25" t="inlineStr">
        <is>
          <t>30/08/2026</t>
        </is>
      </c>
      <c r="D10" s="25" t="inlineStr">
        <is>
          <t>20:45</t>
        </is>
      </c>
      <c r="E10" s="70" t="inlineStr">
        <is>
          <t>Lazio</t>
        </is>
      </c>
      <c r="F10" s="70" t="inlineStr">
        <is>
          <t>Genoa</t>
        </is>
      </c>
      <c r="G10" s="71" t="n">
        <v>1</v>
      </c>
      <c r="H10" s="71" t="n">
        <v>0</v>
      </c>
      <c r="I10" s="72">
        <f>IF(OR($G10="",$H10=""),"",IF($G10&gt;$H10,"1",IF($G10=$H10,"X","2")))</f>
        <v/>
      </c>
      <c r="J10" s="25">
        <f>IF(OR($G10="",$H10=""),"",$G10&amp;"-"&amp;$H10)</f>
        <v/>
      </c>
      <c r="K10" s="73">
        <f>IF($E10="","Calendario da inserire",IF(OR($G10="",$H10=""),"Da giocare","Giocata"))</f>
        <v/>
      </c>
    </row>
    <row r="11">
      <c r="A11" s="69" t="inlineStr">
        <is>
          <t>G02-09</t>
        </is>
      </c>
      <c r="B11" s="25" t="n">
        <v>2</v>
      </c>
      <c r="C11" s="25" t="inlineStr">
        <is>
          <t>31/08/2026</t>
        </is>
      </c>
      <c r="D11" s="25" t="inlineStr">
        <is>
          <t>18:30</t>
        </is>
      </c>
      <c r="E11" s="70" t="inlineStr">
        <is>
          <t>Lecce</t>
        </is>
      </c>
      <c r="F11" s="70" t="inlineStr">
        <is>
          <t>Roma</t>
        </is>
      </c>
      <c r="G11" s="71" t="n">
        <v>0</v>
      </c>
      <c r="H11" s="71" t="n">
        <v>4</v>
      </c>
      <c r="I11" s="72">
        <f>IF(OR($G11="",$H11=""),"",IF($G11&gt;$H11,"1",IF($G11=$H11,"X","2")))</f>
        <v/>
      </c>
      <c r="J11" s="25">
        <f>IF(OR($G11="",$H11=""),"",$G11&amp;"-"&amp;$H11)</f>
        <v/>
      </c>
      <c r="K11" s="73">
        <f>IF($E11="","Calendario da inserire",IF(OR($G11="",$H11=""),"Da giocare","Giocata"))</f>
        <v/>
      </c>
    </row>
    <row r="12">
      <c r="A12" s="69" t="inlineStr">
        <is>
          <t>G02-10</t>
        </is>
      </c>
      <c r="B12" s="25" t="n">
        <v>2</v>
      </c>
      <c r="C12" s="25" t="inlineStr">
        <is>
          <t>31/08/2026</t>
        </is>
      </c>
      <c r="D12" s="25" t="inlineStr">
        <is>
          <t>20:45</t>
        </is>
      </c>
      <c r="E12" s="70" t="inlineStr">
        <is>
          <t>Atalanta</t>
        </is>
      </c>
      <c r="F12" s="70" t="inlineStr">
        <is>
          <t>Bologna</t>
        </is>
      </c>
      <c r="G12" s="71" t="n">
        <v>1</v>
      </c>
      <c r="H12" s="71" t="n">
        <v>0</v>
      </c>
      <c r="I12" s="72">
        <f>IF(OR($G12="",$H12=""),"",IF($G12&gt;$H12,"1",IF($G12=$H12,"X","2")))</f>
        <v/>
      </c>
      <c r="J12" s="25">
        <f>IF(OR($G12="",$H12=""),"",$G12&amp;"-"&amp;$H12)</f>
        <v/>
      </c>
      <c r="K12" s="73">
        <f>IF($E12="","Calendario da inserire",IF(OR($G12="",$H12=""),"Da giocare","Giocata"))</f>
        <v/>
      </c>
    </row>
    <row r="13">
      <c r="A13" s="74" t="inlineStr">
        <is>
          <t>G03-01</t>
        </is>
      </c>
      <c r="B13" s="30" t="n">
        <v>3</v>
      </c>
      <c r="C13" s="30" t="inlineStr">
        <is>
          <t>04/09/2026</t>
        </is>
      </c>
      <c r="D13" s="30" t="inlineStr">
        <is>
          <t>20:45</t>
        </is>
      </c>
      <c r="E13" s="75" t="inlineStr">
        <is>
          <t>Genoa</t>
        </is>
      </c>
      <c r="F13" s="75" t="inlineStr">
        <is>
          <t>Como</t>
        </is>
      </c>
      <c r="G13" s="71" t="n">
        <v>1</v>
      </c>
      <c r="H13" s="71" t="n">
        <v>4</v>
      </c>
      <c r="I13" s="76">
        <f>IF(OR($G13="",$H13=""),"",IF($G13&gt;$H13,"1",IF($G13=$H13,"X","2")))</f>
        <v/>
      </c>
      <c r="J13" s="30">
        <f>IF(OR($G13="",$H13=""),"",$G13&amp;"-"&amp;$H13)</f>
        <v/>
      </c>
      <c r="K13" s="77">
        <f>IF($E13="","Calendario da inserire",IF(OR($G13="",$H13=""),"Da giocare","Giocata"))</f>
        <v/>
      </c>
    </row>
    <row r="14">
      <c r="A14" s="74" t="inlineStr">
        <is>
          <t>G03-02</t>
        </is>
      </c>
      <c r="B14" s="30" t="n">
        <v>3</v>
      </c>
      <c r="C14" s="30" t="inlineStr">
        <is>
          <t>05/09/2026</t>
        </is>
      </c>
      <c r="D14" s="30" t="inlineStr">
        <is>
          <t>15:00</t>
        </is>
      </c>
      <c r="E14" s="75" t="inlineStr">
        <is>
          <t>Fiorentina</t>
        </is>
      </c>
      <c r="F14" s="75" t="inlineStr">
        <is>
          <t>Torino</t>
        </is>
      </c>
      <c r="G14" s="71" t="n">
        <v>1</v>
      </c>
      <c r="H14" s="71" t="n">
        <v>2</v>
      </c>
      <c r="I14" s="76">
        <f>IF(OR($G14="",$H14=""),"",IF($G14&gt;$H14,"1",IF($G14=$H14,"X","2")))</f>
        <v/>
      </c>
      <c r="J14" s="30">
        <f>IF(OR($G14="",$H14=""),"",$G14&amp;"-"&amp;$H14)</f>
        <v/>
      </c>
      <c r="K14" s="77">
        <f>IF($E14="","Calendario da inserire",IF(OR($G14="",$H14=""),"Da giocare","Giocata"))</f>
        <v/>
      </c>
    </row>
    <row r="15">
      <c r="A15" s="74" t="inlineStr">
        <is>
          <t>G03-03</t>
        </is>
      </c>
      <c r="B15" s="30" t="n">
        <v>3</v>
      </c>
      <c r="C15" s="30" t="inlineStr">
        <is>
          <t>05/09/2026</t>
        </is>
      </c>
      <c r="D15" s="30" t="inlineStr">
        <is>
          <t>18:00</t>
        </is>
      </c>
      <c r="E15" s="75" t="inlineStr">
        <is>
          <t>Inter</t>
        </is>
      </c>
      <c r="F15" s="75" t="inlineStr">
        <is>
          <t>Napoli</t>
        </is>
      </c>
      <c r="G15" s="71" t="n">
        <v>3</v>
      </c>
      <c r="H15" s="71" t="n">
        <v>2</v>
      </c>
      <c r="I15" s="76">
        <f>IF(OR($G15="",$H15=""),"",IF($G15&gt;$H15,"1",IF($G15=$H15,"X","2")))</f>
        <v/>
      </c>
      <c r="J15" s="30">
        <f>IF(OR($G15="",$H15=""),"",$G15&amp;"-"&amp;$H15)</f>
        <v/>
      </c>
      <c r="K15" s="77">
        <f>IF($E15="","Calendario da inserire",IF(OR($G15="",$H15=""),"Da giocare","Giocata"))</f>
        <v/>
      </c>
    </row>
    <row r="16">
      <c r="A16" s="74" t="inlineStr">
        <is>
          <t>G03-04</t>
        </is>
      </c>
      <c r="B16" s="30" t="n">
        <v>3</v>
      </c>
      <c r="C16" s="30" t="inlineStr">
        <is>
          <t>05/09/2026</t>
        </is>
      </c>
      <c r="D16" s="30" t="inlineStr">
        <is>
          <t>20:45</t>
        </is>
      </c>
      <c r="E16" s="75" t="inlineStr">
        <is>
          <t>Roma</t>
        </is>
      </c>
      <c r="F16" s="75" t="inlineStr">
        <is>
          <t>Atalanta</t>
        </is>
      </c>
      <c r="G16" s="71" t="n">
        <v>2</v>
      </c>
      <c r="H16" s="71" t="n">
        <v>1</v>
      </c>
      <c r="I16" s="76">
        <f>IF(OR($G16="",$H16=""),"",IF($G16&gt;$H16,"1",IF($G16=$H16,"X","2")))</f>
        <v/>
      </c>
      <c r="J16" s="30">
        <f>IF(OR($G16="",$H16=""),"",$G16&amp;"-"&amp;$H16)</f>
        <v/>
      </c>
      <c r="K16" s="77">
        <f>IF($E16="","Calendario da inserire",IF(OR($G16="",$H16=""),"Da giocare","Giocata"))</f>
        <v/>
      </c>
    </row>
    <row r="17">
      <c r="A17" s="74" t="inlineStr">
        <is>
          <t>G03-05</t>
        </is>
      </c>
      <c r="B17" s="30" t="n">
        <v>3</v>
      </c>
      <c r="C17" s="30" t="inlineStr">
        <is>
          <t>06/09/2026</t>
        </is>
      </c>
      <c r="D17" s="30" t="inlineStr">
        <is>
          <t>15:00</t>
        </is>
      </c>
      <c r="E17" s="75" t="inlineStr">
        <is>
          <t>Frosinone</t>
        </is>
      </c>
      <c r="F17" s="75" t="inlineStr">
        <is>
          <t>Venezia</t>
        </is>
      </c>
      <c r="G17" s="71" t="n">
        <v>3</v>
      </c>
      <c r="H17" s="71" t="n">
        <v>2</v>
      </c>
      <c r="I17" s="76">
        <f>IF(OR($G17="",$H17=""),"",IF($G17&gt;$H17,"1",IF($G17=$H17,"X","2")))</f>
        <v/>
      </c>
      <c r="J17" s="30">
        <f>IF(OR($G17="",$H17=""),"",$G17&amp;"-"&amp;$H17)</f>
        <v/>
      </c>
      <c r="K17" s="77">
        <f>IF($E17="","Calendario da inserire",IF(OR($G17="",$H17=""),"Da giocare","Giocata"))</f>
        <v/>
      </c>
    </row>
    <row r="18">
      <c r="A18" s="74" t="inlineStr">
        <is>
          <t>G03-06</t>
        </is>
      </c>
      <c r="B18" s="30" t="n">
        <v>3</v>
      </c>
      <c r="C18" s="30" t="inlineStr">
        <is>
          <t>06/09/2026</t>
        </is>
      </c>
      <c r="D18" s="30" t="inlineStr">
        <is>
          <t>15:00</t>
        </is>
      </c>
      <c r="E18" s="75" t="inlineStr">
        <is>
          <t>Parma</t>
        </is>
      </c>
      <c r="F18" s="75" t="inlineStr">
        <is>
          <t>Monza</t>
        </is>
      </c>
      <c r="G18" s="71" t="n">
        <v>1</v>
      </c>
      <c r="H18" s="71" t="n">
        <v>1</v>
      </c>
      <c r="I18" s="76">
        <f>IF(OR($G18="",$H18=""),"",IF($G18&gt;$H18,"1",IF($G18=$H18,"X","2")))</f>
        <v/>
      </c>
      <c r="J18" s="30">
        <f>IF(OR($G18="",$H18=""),"",$G18&amp;"-"&amp;$H18)</f>
        <v/>
      </c>
      <c r="K18" s="77">
        <f>IF($E18="","Calendario da inserire",IF(OR($G18="",$H18=""),"Da giocare","Giocata"))</f>
        <v/>
      </c>
    </row>
    <row r="19">
      <c r="A19" s="74" t="inlineStr">
        <is>
          <t>G03-07</t>
        </is>
      </c>
      <c r="B19" s="30" t="n">
        <v>3</v>
      </c>
      <c r="C19" s="30" t="inlineStr">
        <is>
          <t>06/09/2026</t>
        </is>
      </c>
      <c r="D19" s="30" t="inlineStr">
        <is>
          <t>18:00</t>
        </is>
      </c>
      <c r="E19" s="75" t="inlineStr">
        <is>
          <t>Bologna</t>
        </is>
      </c>
      <c r="F19" s="75" t="inlineStr">
        <is>
          <t>Sassuolo</t>
        </is>
      </c>
      <c r="G19" s="71" t="n">
        <v>2</v>
      </c>
      <c r="H19" s="71" t="n">
        <v>2</v>
      </c>
      <c r="I19" s="76">
        <f>IF(OR($G19="",$H19=""),"",IF($G19&gt;$H19,"1",IF($G19=$H19,"X","2")))</f>
        <v/>
      </c>
      <c r="J19" s="30">
        <f>IF(OR($G19="",$H19=""),"",$G19&amp;"-"&amp;$H19)</f>
        <v/>
      </c>
      <c r="K19" s="77">
        <f>IF($E19="","Calendario da inserire",IF(OR($G19="",$H19=""),"Da giocare","Giocata"))</f>
        <v/>
      </c>
    </row>
    <row r="20">
      <c r="A20" s="74" t="inlineStr">
        <is>
          <t>G03-08</t>
        </is>
      </c>
      <c r="B20" s="30" t="n">
        <v>3</v>
      </c>
      <c r="C20" s="30" t="inlineStr">
        <is>
          <t>06/09/2026</t>
        </is>
      </c>
      <c r="D20" s="30" t="inlineStr">
        <is>
          <t>20:45</t>
        </is>
      </c>
      <c r="E20" s="75" t="inlineStr">
        <is>
          <t>Juventus</t>
        </is>
      </c>
      <c r="F20" s="75" t="inlineStr">
        <is>
          <t>Milan</t>
        </is>
      </c>
      <c r="G20" s="71" t="n">
        <v>1</v>
      </c>
      <c r="H20" s="71" t="n">
        <v>1</v>
      </c>
      <c r="I20" s="76">
        <f>IF(OR($G20="",$H20=""),"",IF($G20&gt;$H20,"1",IF($G20=$H20,"X","2")))</f>
        <v/>
      </c>
      <c r="J20" s="30">
        <f>IF(OR($G20="",$H20=""),"",$G20&amp;"-"&amp;$H20)</f>
        <v/>
      </c>
      <c r="K20" s="77">
        <f>IF($E20="","Calendario da inserire",IF(OR($G20="",$H20=""),"Da giocare","Giocata"))</f>
        <v/>
      </c>
    </row>
    <row r="21">
      <c r="A21" s="74" t="inlineStr">
        <is>
          <t>G03-09</t>
        </is>
      </c>
      <c r="B21" s="30" t="n">
        <v>3</v>
      </c>
      <c r="C21" s="30" t="inlineStr">
        <is>
          <t>07/09/2026</t>
        </is>
      </c>
      <c r="D21" s="30" t="inlineStr">
        <is>
          <t>18:30</t>
        </is>
      </c>
      <c r="E21" s="75" t="inlineStr">
        <is>
          <t>Cagliari</t>
        </is>
      </c>
      <c r="F21" s="75" t="inlineStr">
        <is>
          <t>Lecce</t>
        </is>
      </c>
      <c r="G21" s="71" t="n">
        <v>1</v>
      </c>
      <c r="H21" s="71" t="n">
        <v>0</v>
      </c>
      <c r="I21" s="76">
        <f>IF(OR($G21="",$H21=""),"",IF($G21&gt;$H21,"1",IF($G21=$H21,"X","2")))</f>
        <v/>
      </c>
      <c r="J21" s="30">
        <f>IF(OR($G21="",$H21=""),"",$G21&amp;"-"&amp;$H21)</f>
        <v/>
      </c>
      <c r="K21" s="77">
        <f>IF($E21="","Calendario da inserire",IF(OR($G21="",$H21=""),"Da giocare","Giocata"))</f>
        <v/>
      </c>
    </row>
    <row r="22">
      <c r="A22" s="74" t="inlineStr">
        <is>
          <t>G03-10</t>
        </is>
      </c>
      <c r="B22" s="30" t="n">
        <v>3</v>
      </c>
      <c r="C22" s="30" t="inlineStr">
        <is>
          <t>07/09/2026</t>
        </is>
      </c>
      <c r="D22" s="30" t="inlineStr">
        <is>
          <t>20:45</t>
        </is>
      </c>
      <c r="E22" s="75" t="inlineStr">
        <is>
          <t>Udinese</t>
        </is>
      </c>
      <c r="F22" s="75" t="inlineStr">
        <is>
          <t>Lazio</t>
        </is>
      </c>
      <c r="G22" s="71" t="n">
        <v>1</v>
      </c>
      <c r="H22" s="71" t="n">
        <v>2</v>
      </c>
      <c r="I22" s="76">
        <f>IF(OR($G22="",$H22=""),"",IF($G22&gt;$H22,"1",IF($G22=$H22,"X","2")))</f>
        <v/>
      </c>
      <c r="J22" s="30">
        <f>IF(OR($G22="",$H22=""),"",$G22&amp;"-"&amp;$H22)</f>
        <v/>
      </c>
      <c r="K22" s="77">
        <f>IF($E22="","Calendario da inserire",IF(OR($G22="",$H22=""),"Da giocare","Giocata"))</f>
        <v/>
      </c>
    </row>
    <row r="23">
      <c r="A23" s="69" t="inlineStr">
        <is>
          <t>G04-01</t>
        </is>
      </c>
      <c r="B23" s="25" t="n">
        <v>4</v>
      </c>
      <c r="C23" s="25" t="inlineStr">
        <is>
          <t>11/09/2026</t>
        </is>
      </c>
      <c r="D23" s="25" t="inlineStr">
        <is>
          <t>20:45</t>
        </is>
      </c>
      <c r="E23" s="70" t="inlineStr">
        <is>
          <t>Venezia</t>
        </is>
      </c>
      <c r="F23" s="70" t="inlineStr">
        <is>
          <t>Fiorentina</t>
        </is>
      </c>
      <c r="G23" s="71" t="n">
        <v>2</v>
      </c>
      <c r="H23" s="71" t="n">
        <v>4</v>
      </c>
      <c r="I23" s="72">
        <f>IF(OR($G23="",$H23=""),"",IF($G23&gt;$H23,"1",IF($G23=$H23,"X","2")))</f>
        <v/>
      </c>
      <c r="J23" s="25">
        <f>IF(OR($G23="",$H23=""),"",$G23&amp;"-"&amp;$H23)</f>
        <v/>
      </c>
      <c r="K23" s="73">
        <f>IF($E23="","Calendario da inserire",IF(OR($G23="",$H23=""),"Da giocare","Giocata"))</f>
        <v/>
      </c>
    </row>
    <row r="24">
      <c r="A24" s="69" t="inlineStr">
        <is>
          <t>G04-02</t>
        </is>
      </c>
      <c r="B24" s="25" t="n">
        <v>4</v>
      </c>
      <c r="C24" s="25" t="inlineStr">
        <is>
          <t>12/09/2026</t>
        </is>
      </c>
      <c r="D24" s="25" t="inlineStr">
        <is>
          <t>15:00</t>
        </is>
      </c>
      <c r="E24" s="70" t="inlineStr">
        <is>
          <t>Genoa</t>
        </is>
      </c>
      <c r="F24" s="70" t="inlineStr">
        <is>
          <t>Frosinone</t>
        </is>
      </c>
      <c r="G24" s="71" t="n">
        <v>1</v>
      </c>
      <c r="H24" s="71" t="n">
        <v>1</v>
      </c>
      <c r="I24" s="72">
        <f>IF(OR($G24="",$H24=""),"",IF($G24&gt;$H24,"1",IF($G24=$H24,"X","2")))</f>
        <v/>
      </c>
      <c r="J24" s="25">
        <f>IF(OR($G24="",$H24=""),"",$G24&amp;"-"&amp;$H24)</f>
        <v/>
      </c>
      <c r="K24" s="73">
        <f>IF($E24="","Calendario da inserire",IF(OR($G24="",$H24=""),"Da giocare","Giocata"))</f>
        <v/>
      </c>
    </row>
    <row r="25">
      <c r="A25" s="69" t="inlineStr">
        <is>
          <t>G04-03</t>
        </is>
      </c>
      <c r="B25" s="25" t="n">
        <v>4</v>
      </c>
      <c r="C25" s="25" t="inlineStr">
        <is>
          <t>12/09/2026</t>
        </is>
      </c>
      <c r="D25" s="25" t="inlineStr">
        <is>
          <t>18:00</t>
        </is>
      </c>
      <c r="E25" s="70" t="inlineStr">
        <is>
          <t>Lazio</t>
        </is>
      </c>
      <c r="F25" s="70" t="inlineStr">
        <is>
          <t>Milan</t>
        </is>
      </c>
      <c r="G25" s="71" t="n">
        <v>2</v>
      </c>
      <c r="H25" s="71" t="n">
        <v>2</v>
      </c>
      <c r="I25" s="72">
        <f>IF(OR($G25="",$H25=""),"",IF($G25&gt;$H25,"1",IF($G25=$H25,"X","2")))</f>
        <v/>
      </c>
      <c r="J25" s="25">
        <f>IF(OR($G25="",$H25=""),"",$G25&amp;"-"&amp;$H25)</f>
        <v/>
      </c>
      <c r="K25" s="73">
        <f>IF($E25="","Calendario da inserire",IF(OR($G25="",$H25=""),"Da giocare","Giocata"))</f>
        <v/>
      </c>
    </row>
    <row r="26">
      <c r="A26" s="69" t="inlineStr">
        <is>
          <t>G04-04</t>
        </is>
      </c>
      <c r="B26" s="25" t="n">
        <v>4</v>
      </c>
      <c r="C26" s="25" t="inlineStr">
        <is>
          <t>13/09/2026</t>
        </is>
      </c>
      <c r="D26" s="25" t="inlineStr">
        <is>
          <t>20:45</t>
        </is>
      </c>
      <c r="E26" s="70" t="inlineStr">
        <is>
          <t>Sassuolo</t>
        </is>
      </c>
      <c r="F26" s="70" t="inlineStr">
        <is>
          <t>Juventus</t>
        </is>
      </c>
      <c r="G26" s="71" t="n">
        <v>3</v>
      </c>
      <c r="H26" s="71" t="n">
        <v>2</v>
      </c>
      <c r="I26" s="72">
        <f>IF(OR($G26="",$H26=""),"",IF($G26&gt;$H26,"1",IF($G26=$H26,"X","2")))</f>
        <v/>
      </c>
      <c r="J26" s="25">
        <f>IF(OR($G26="",$H26=""),"",$G26&amp;"-"&amp;$H26)</f>
        <v/>
      </c>
      <c r="K26" s="73">
        <f>IF($E26="","Calendario da inserire",IF(OR($G26="",$H26=""),"Da giocare","Giocata"))</f>
        <v/>
      </c>
    </row>
    <row r="27">
      <c r="A27" s="69" t="inlineStr">
        <is>
          <t>G04-05</t>
        </is>
      </c>
      <c r="B27" s="25" t="n">
        <v>4</v>
      </c>
      <c r="C27" s="25" t="inlineStr">
        <is>
          <t>12/09/2026</t>
        </is>
      </c>
      <c r="D27" s="25" t="inlineStr">
        <is>
          <t>20:45</t>
        </is>
      </c>
      <c r="E27" s="70" t="inlineStr">
        <is>
          <t>Atalanta</t>
        </is>
      </c>
      <c r="F27" s="70" t="inlineStr">
        <is>
          <t>Cagliari</t>
        </is>
      </c>
      <c r="G27" s="71" t="n">
        <v>1</v>
      </c>
      <c r="H27" s="71" t="n">
        <v>2</v>
      </c>
      <c r="I27" s="72">
        <f>IF(OR($G27="",$H27=""),"",IF($G27&gt;$H27,"1",IF($G27=$H27,"X","2")))</f>
        <v/>
      </c>
      <c r="J27" s="25">
        <f>IF(OR($G27="",$H27=""),"",$G27&amp;"-"&amp;$H27)</f>
        <v/>
      </c>
      <c r="K27" s="73">
        <f>IF($E27="","Calendario da inserire",IF(OR($G27="",$H27=""),"Da giocare","Giocata"))</f>
        <v/>
      </c>
    </row>
    <row r="28">
      <c r="A28" s="69" t="inlineStr">
        <is>
          <t>G04-06</t>
        </is>
      </c>
      <c r="B28" s="25" t="n">
        <v>4</v>
      </c>
      <c r="C28" s="25" t="inlineStr">
        <is>
          <t>14/09/2026</t>
        </is>
      </c>
      <c r="D28" s="25" t="inlineStr">
        <is>
          <t>18:30</t>
        </is>
      </c>
      <c r="E28" s="70" t="inlineStr">
        <is>
          <t>Torino</t>
        </is>
      </c>
      <c r="F28" s="70" t="inlineStr">
        <is>
          <t>Roma</t>
        </is>
      </c>
      <c r="G28" s="71" t="n">
        <v>0</v>
      </c>
      <c r="H28" s="71" t="n">
        <v>2</v>
      </c>
      <c r="I28" s="72">
        <f>IF(OR($G28="",$H28=""),"",IF($G28&gt;$H28,"1",IF($G28=$H28,"X","2")))</f>
        <v/>
      </c>
      <c r="J28" s="25">
        <f>IF(OR($G28="",$H28=""),"",$G28&amp;"-"&amp;$H28)</f>
        <v/>
      </c>
      <c r="K28" s="73">
        <f>IF($E28="","Calendario da inserire",IF(OR($G28="",$H28=""),"Da giocare","Giocata"))</f>
        <v/>
      </c>
    </row>
    <row r="29">
      <c r="A29" s="69" t="inlineStr">
        <is>
          <t>G04-07</t>
        </is>
      </c>
      <c r="B29" s="25" t="n">
        <v>4</v>
      </c>
      <c r="C29" s="25" t="inlineStr">
        <is>
          <t>14/09/2026</t>
        </is>
      </c>
      <c r="D29" s="25" t="inlineStr">
        <is>
          <t>18:30</t>
        </is>
      </c>
      <c r="E29" s="70" t="inlineStr">
        <is>
          <t>Como</t>
        </is>
      </c>
      <c r="F29" s="70" t="inlineStr">
        <is>
          <t>Parma</t>
        </is>
      </c>
      <c r="G29" s="71" t="n">
        <v>2</v>
      </c>
      <c r="H29" s="71" t="n">
        <v>1</v>
      </c>
      <c r="I29" s="72">
        <f>IF(OR($G29="",$H29=""),"",IF($G29&gt;$H29,"1",IF($G29=$H29,"X","2")))</f>
        <v/>
      </c>
      <c r="J29" s="25">
        <f>IF(OR($G29="",$H29=""),"",$G29&amp;"-"&amp;$H29)</f>
        <v/>
      </c>
      <c r="K29" s="73">
        <f>IF($E29="","Calendario da inserire",IF(OR($G29="",$H29=""),"Da giocare","Giocata"))</f>
        <v/>
      </c>
    </row>
    <row r="30">
      <c r="A30" s="69" t="inlineStr">
        <is>
          <t>G04-08</t>
        </is>
      </c>
      <c r="B30" s="25" t="n">
        <v>4</v>
      </c>
      <c r="C30" s="25" t="inlineStr">
        <is>
          <t>13/09/2026</t>
        </is>
      </c>
      <c r="D30" s="25" t="inlineStr">
        <is>
          <t>15:00</t>
        </is>
      </c>
      <c r="E30" s="70" t="inlineStr">
        <is>
          <t>Lecce</t>
        </is>
      </c>
      <c r="F30" s="70" t="inlineStr">
        <is>
          <t>Monza</t>
        </is>
      </c>
      <c r="G30" s="71" t="n">
        <v>3</v>
      </c>
      <c r="H30" s="71" t="n">
        <v>2</v>
      </c>
      <c r="I30" s="72">
        <f>IF(OR($G30="",$H30=""),"",IF($G30&gt;$H30,"1",IF($G30=$H30,"X","2")))</f>
        <v/>
      </c>
      <c r="J30" s="25">
        <f>IF(OR($G30="",$H30=""),"",$G30&amp;"-"&amp;$H30)</f>
        <v/>
      </c>
      <c r="K30" s="73">
        <f>IF($E30="","Calendario da inserire",IF(OR($G30="",$H30=""),"Da giocare","Giocata"))</f>
        <v/>
      </c>
    </row>
    <row r="31">
      <c r="A31" s="69" t="inlineStr">
        <is>
          <t>G04-09</t>
        </is>
      </c>
      <c r="B31" s="25" t="n">
        <v>4</v>
      </c>
      <c r="C31" s="25" t="inlineStr">
        <is>
          <t>13/09/2026</t>
        </is>
      </c>
      <c r="D31" s="25" t="inlineStr">
        <is>
          <t>18:00</t>
        </is>
      </c>
      <c r="E31" s="70" t="inlineStr">
        <is>
          <t>Napoli</t>
        </is>
      </c>
      <c r="F31" s="70" t="inlineStr">
        <is>
          <t>Bologna</t>
        </is>
      </c>
      <c r="G31" s="71" t="n">
        <v>1</v>
      </c>
      <c r="H31" s="71" t="n">
        <v>0</v>
      </c>
      <c r="I31" s="72">
        <f>IF(OR($G31="",$H31=""),"",IF($G31&gt;$H31,"1",IF($G31=$H31,"X","2")))</f>
        <v/>
      </c>
      <c r="J31" s="25">
        <f>IF(OR($G31="",$H31=""),"",$G31&amp;"-"&amp;$H31)</f>
        <v/>
      </c>
      <c r="K31" s="73">
        <f>IF($E31="","Calendario da inserire",IF(OR($G31="",$H31=""),"Da giocare","Giocata"))</f>
        <v/>
      </c>
    </row>
    <row r="32">
      <c r="A32" s="69" t="inlineStr">
        <is>
          <t>G04-10</t>
        </is>
      </c>
      <c r="B32" s="25" t="n">
        <v>4</v>
      </c>
      <c r="C32" s="25" t="inlineStr">
        <is>
          <t>14/09/2026</t>
        </is>
      </c>
      <c r="D32" s="25" t="inlineStr">
        <is>
          <t>20:45</t>
        </is>
      </c>
      <c r="E32" s="70" t="inlineStr">
        <is>
          <t>Inter</t>
        </is>
      </c>
      <c r="F32" s="70" t="inlineStr">
        <is>
          <t>Udinese</t>
        </is>
      </c>
      <c r="G32" s="71" t="n">
        <v>5</v>
      </c>
      <c r="H32" s="71" t="n">
        <v>3</v>
      </c>
      <c r="I32" s="72">
        <f>IF(OR($G32="",$H32=""),"",IF($G32&gt;$H32,"1",IF($G32=$H32,"X","2")))</f>
        <v/>
      </c>
      <c r="J32" s="25">
        <f>IF(OR($G32="",$H32=""),"",$G32&amp;"-"&amp;$H32)</f>
        <v/>
      </c>
      <c r="K32" s="73">
        <f>IF($E32="","Calendario da inserire",IF(OR($G32="",$H32=""),"Da giocare","Giocata"))</f>
        <v/>
      </c>
    </row>
    <row r="33">
      <c r="A33" s="74" t="inlineStr">
        <is>
          <t>G05-01</t>
        </is>
      </c>
      <c r="B33" s="30" t="n">
        <v>5</v>
      </c>
      <c r="C33" s="30" t="inlineStr">
        <is>
          <t>18/09/2026</t>
        </is>
      </c>
      <c r="D33" s="30" t="inlineStr">
        <is>
          <t>20:45</t>
        </is>
      </c>
      <c r="E33" s="75" t="inlineStr">
        <is>
          <t>Monza</t>
        </is>
      </c>
      <c r="F33" s="75" t="inlineStr">
        <is>
          <t>Sassuolo</t>
        </is>
      </c>
      <c r="G33" s="71" t="n">
        <v>2</v>
      </c>
      <c r="H33" s="71" t="n">
        <v>1</v>
      </c>
      <c r="I33" s="76">
        <f>IF(OR($G33="",$H33=""),"",IF($G33&gt;$H33,"1",IF($G33=$H33,"X","2")))</f>
        <v/>
      </c>
      <c r="J33" s="30">
        <f>IF(OR($G33="",$H33=""),"",$G33&amp;"-"&amp;$H33)</f>
        <v/>
      </c>
      <c r="K33" s="77">
        <f>IF($E33="","Calendario da inserire",IF(OR($G33="",$H33=""),"Da giocare","Giocata"))</f>
        <v/>
      </c>
    </row>
    <row r="34">
      <c r="A34" s="74" t="inlineStr">
        <is>
          <t>G05-02</t>
        </is>
      </c>
      <c r="B34" s="30" t="n">
        <v>5</v>
      </c>
      <c r="C34" s="30" t="inlineStr">
        <is>
          <t>19/09/2026</t>
        </is>
      </c>
      <c r="D34" s="30" t="inlineStr">
        <is>
          <t>15:00</t>
        </is>
      </c>
      <c r="E34" s="75" t="inlineStr">
        <is>
          <t>Bologna</t>
        </is>
      </c>
      <c r="F34" s="75" t="inlineStr">
        <is>
          <t>Torino</t>
        </is>
      </c>
      <c r="G34" s="71" t="n">
        <v>1</v>
      </c>
      <c r="H34" s="71" t="n">
        <v>1</v>
      </c>
      <c r="I34" s="76">
        <f>IF(OR($G34="",$H34=""),"",IF($G34&gt;$H34,"1",IF($G34=$H34,"X","2")))</f>
        <v/>
      </c>
      <c r="J34" s="30">
        <f>IF(OR($G34="",$H34=""),"",$G34&amp;"-"&amp;$H34)</f>
        <v/>
      </c>
      <c r="K34" s="77">
        <f>IF($E34="","Calendario da inserire",IF(OR($G34="",$H34=""),"Da giocare","Giocata"))</f>
        <v/>
      </c>
    </row>
    <row r="35">
      <c r="A35" s="74" t="inlineStr">
        <is>
          <t>G05-03</t>
        </is>
      </c>
      <c r="B35" s="30" t="n">
        <v>5</v>
      </c>
      <c r="C35" s="30" t="inlineStr">
        <is>
          <t>19/09/2026</t>
        </is>
      </c>
      <c r="D35" s="30" t="inlineStr">
        <is>
          <t>15:00</t>
        </is>
      </c>
      <c r="E35" s="75" t="inlineStr">
        <is>
          <t>Udinese</t>
        </is>
      </c>
      <c r="F35" s="75" t="inlineStr">
        <is>
          <t>Cagliari</t>
        </is>
      </c>
      <c r="G35" s="71" t="n">
        <v>0</v>
      </c>
      <c r="H35" s="71" t="n">
        <v>1</v>
      </c>
      <c r="I35" s="76">
        <f>IF(OR($G35="",$H35=""),"",IF($G35&gt;$H35,"1",IF($G35=$H35,"X","2")))</f>
        <v/>
      </c>
      <c r="J35" s="30">
        <f>IF(OR($G35="",$H35=""),"",$G35&amp;"-"&amp;$H35)</f>
        <v/>
      </c>
      <c r="K35" s="77">
        <f>IF($E35="","Calendario da inserire",IF(OR($G35="",$H35=""),"Da giocare","Giocata"))</f>
        <v/>
      </c>
    </row>
    <row r="36">
      <c r="A36" s="74" t="inlineStr">
        <is>
          <t>G05-04</t>
        </is>
      </c>
      <c r="B36" s="30" t="n">
        <v>5</v>
      </c>
      <c r="C36" s="30" t="inlineStr">
        <is>
          <t>19/09/2026</t>
        </is>
      </c>
      <c r="D36" s="30" t="inlineStr">
        <is>
          <t>18:00</t>
        </is>
      </c>
      <c r="E36" s="75" t="inlineStr">
        <is>
          <t>Roma</t>
        </is>
      </c>
      <c r="F36" s="75" t="inlineStr">
        <is>
          <t>Inter</t>
        </is>
      </c>
      <c r="G36" s="71" t="n">
        <v>2</v>
      </c>
      <c r="H36" s="71" t="n">
        <v>2</v>
      </c>
      <c r="I36" s="76">
        <f>IF(OR($G36="",$H36=""),"",IF($G36&gt;$H36,"1",IF($G36=$H36,"X","2")))</f>
        <v/>
      </c>
      <c r="J36" s="30">
        <f>IF(OR($G36="",$H36=""),"",$G36&amp;"-"&amp;$H36)</f>
        <v/>
      </c>
      <c r="K36" s="77">
        <f>IF($E36="","Calendario da inserire",IF(OR($G36="",$H36=""),"Da giocare","Giocata"))</f>
        <v/>
      </c>
    </row>
    <row r="37">
      <c r="A37" s="74" t="inlineStr">
        <is>
          <t>G05-05</t>
        </is>
      </c>
      <c r="B37" s="30" t="n">
        <v>5</v>
      </c>
      <c r="C37" s="30" t="inlineStr">
        <is>
          <t>19/09/2026</t>
        </is>
      </c>
      <c r="D37" s="30" t="inlineStr">
        <is>
          <t>20:45</t>
        </is>
      </c>
      <c r="E37" s="75" t="inlineStr">
        <is>
          <t>Venezia</t>
        </is>
      </c>
      <c r="F37" s="75" t="inlineStr">
        <is>
          <t>Lazio</t>
        </is>
      </c>
      <c r="G37" s="71" t="n">
        <v>0</v>
      </c>
      <c r="H37" s="71" t="n">
        <v>2</v>
      </c>
      <c r="I37" s="76">
        <f>IF(OR($G37="",$H37=""),"",IF($G37&gt;$H37,"1",IF($G37=$H37,"X","2")))</f>
        <v/>
      </c>
      <c r="J37" s="30">
        <f>IF(OR($G37="",$H37=""),"",$G37&amp;"-"&amp;$H37)</f>
        <v/>
      </c>
      <c r="K37" s="77">
        <f>IF($E37="","Calendario da inserire",IF(OR($G37="",$H37=""),"Da giocare","Giocata"))</f>
        <v/>
      </c>
    </row>
    <row r="38">
      <c r="A38" s="74" t="inlineStr">
        <is>
          <t>G05-06</t>
        </is>
      </c>
      <c r="B38" s="30" t="n">
        <v>5</v>
      </c>
      <c r="C38" s="30" t="inlineStr">
        <is>
          <t>20/09/2026</t>
        </is>
      </c>
      <c r="D38" s="30" t="inlineStr">
        <is>
          <t>12:30</t>
        </is>
      </c>
      <c r="E38" s="75" t="inlineStr">
        <is>
          <t>Fiorentina</t>
        </is>
      </c>
      <c r="F38" s="75" t="inlineStr">
        <is>
          <t>Napoli</t>
        </is>
      </c>
      <c r="G38" s="71" t="n">
        <v>1</v>
      </c>
      <c r="H38" s="71" t="n">
        <v>1</v>
      </c>
      <c r="I38" s="76">
        <f>IF(OR($G38="",$H38=""),"",IF($G38&gt;$H38,"1",IF($G38=$H38,"X","2")))</f>
        <v/>
      </c>
      <c r="J38" s="30">
        <f>IF(OR($G38="",$H38=""),"",$G38&amp;"-"&amp;$H38)</f>
        <v/>
      </c>
      <c r="K38" s="77">
        <f>IF($E38="","Calendario da inserire",IF(OR($G38="",$H38=""),"Da giocare","Giocata"))</f>
        <v/>
      </c>
    </row>
    <row r="39">
      <c r="A39" s="74" t="inlineStr">
        <is>
          <t>G05-07</t>
        </is>
      </c>
      <c r="B39" s="30" t="n">
        <v>5</v>
      </c>
      <c r="C39" s="30" t="inlineStr">
        <is>
          <t>20/09/2026</t>
        </is>
      </c>
      <c r="D39" s="30" t="inlineStr">
        <is>
          <t>15:00</t>
        </is>
      </c>
      <c r="E39" s="75" t="inlineStr">
        <is>
          <t>Frosinone</t>
        </is>
      </c>
      <c r="F39" s="75" t="inlineStr">
        <is>
          <t>Como</t>
        </is>
      </c>
      <c r="G39" s="71" t="n">
        <v>2</v>
      </c>
      <c r="H39" s="71" t="n">
        <v>0</v>
      </c>
      <c r="I39" s="76">
        <f>IF(OR($G39="",$H39=""),"",IF($G39&gt;$H39,"1",IF($G39=$H39,"X","2")))</f>
        <v/>
      </c>
      <c r="J39" s="30">
        <f>IF(OR($G39="",$H39=""),"",$G39&amp;"-"&amp;$H39)</f>
        <v/>
      </c>
      <c r="K39" s="77">
        <f>IF($E39="","Calendario da inserire",IF(OR($G39="",$H39=""),"Da giocare","Giocata"))</f>
        <v/>
      </c>
    </row>
    <row r="40">
      <c r="A40" s="74" t="inlineStr">
        <is>
          <t>G05-08</t>
        </is>
      </c>
      <c r="B40" s="30" t="n">
        <v>5</v>
      </c>
      <c r="C40" s="30" t="inlineStr">
        <is>
          <t>20/09/2026</t>
        </is>
      </c>
      <c r="D40" s="30" t="inlineStr">
        <is>
          <t>15:00</t>
        </is>
      </c>
      <c r="E40" s="75" t="inlineStr">
        <is>
          <t>Parma</t>
        </is>
      </c>
      <c r="F40" s="75" t="inlineStr">
        <is>
          <t>Genoa</t>
        </is>
      </c>
      <c r="G40" s="71" t="n">
        <v>2</v>
      </c>
      <c r="H40" s="71" t="n">
        <v>1</v>
      </c>
      <c r="I40" s="76">
        <f>IF(OR($G40="",$H40=""),"",IF($G40&gt;$H40,"1",IF($G40=$H40,"X","2")))</f>
        <v/>
      </c>
      <c r="J40" s="30">
        <f>IF(OR($G40="",$H40=""),"",$G40&amp;"-"&amp;$H40)</f>
        <v/>
      </c>
      <c r="K40" s="77">
        <f>IF($E40="","Calendario da inserire",IF(OR($G40="",$H40=""),"Da giocare","Giocata"))</f>
        <v/>
      </c>
    </row>
    <row r="41">
      <c r="A41" s="74" t="inlineStr">
        <is>
          <t>G05-09</t>
        </is>
      </c>
      <c r="B41" s="30" t="n">
        <v>5</v>
      </c>
      <c r="C41" s="30" t="inlineStr">
        <is>
          <t>20/09/2026</t>
        </is>
      </c>
      <c r="D41" s="30" t="inlineStr">
        <is>
          <t>18:00</t>
        </is>
      </c>
      <c r="E41" s="75" t="inlineStr">
        <is>
          <t>Juventus</t>
        </is>
      </c>
      <c r="F41" s="75" t="inlineStr">
        <is>
          <t>Atalanta</t>
        </is>
      </c>
      <c r="G41" s="71" t="n">
        <v>2</v>
      </c>
      <c r="H41" s="71" t="n">
        <v>0</v>
      </c>
      <c r="I41" s="76">
        <f>IF(OR($G41="",$H41=""),"",IF($G41&gt;$H41,"1",IF($G41=$H41,"X","2")))</f>
        <v/>
      </c>
      <c r="J41" s="30">
        <f>IF(OR($G41="",$H41=""),"",$G41&amp;"-"&amp;$H41)</f>
        <v/>
      </c>
      <c r="K41" s="77">
        <f>IF($E41="","Calendario da inserire",IF(OR($G41="",$H41=""),"Da giocare","Giocata"))</f>
        <v/>
      </c>
    </row>
    <row r="42">
      <c r="A42" s="74" t="inlineStr">
        <is>
          <t>G05-10</t>
        </is>
      </c>
      <c r="B42" s="30" t="n">
        <v>5</v>
      </c>
      <c r="C42" s="30" t="inlineStr">
        <is>
          <t>20/09/2026</t>
        </is>
      </c>
      <c r="D42" s="30" t="inlineStr">
        <is>
          <t>20:45</t>
        </is>
      </c>
      <c r="E42" s="75" t="inlineStr">
        <is>
          <t>Milan</t>
        </is>
      </c>
      <c r="F42" s="75" t="inlineStr">
        <is>
          <t>Lecce</t>
        </is>
      </c>
      <c r="G42" s="71" t="n">
        <v>3</v>
      </c>
      <c r="H42" s="71" t="n">
        <v>0</v>
      </c>
      <c r="I42" s="76">
        <f>IF(OR($G42="",$H42=""),"",IF($G42&gt;$H42,"1",IF($G42=$H42,"X","2")))</f>
        <v/>
      </c>
      <c r="J42" s="30">
        <f>IF(OR($G42="",$H42=""),"",$G42&amp;"-"&amp;$H42)</f>
        <v/>
      </c>
      <c r="K42" s="77">
        <f>IF($E42="","Calendario da inserire",IF(OR($G42="",$H42=""),"Da giocare","Giocata"))</f>
        <v/>
      </c>
    </row>
    <row r="43">
      <c r="A43" s="69" t="inlineStr">
        <is>
          <t>G06-01</t>
        </is>
      </c>
      <c r="B43" s="25" t="n">
        <v>6</v>
      </c>
      <c r="C43" s="25" t="inlineStr">
        <is>
          <t>12/10/2026</t>
        </is>
      </c>
      <c r="D43" s="25" t="inlineStr">
        <is>
          <t>18:30</t>
        </is>
      </c>
      <c r="E43" s="70" t="inlineStr">
        <is>
          <t>Atalanta</t>
        </is>
      </c>
      <c r="F43" s="70" t="inlineStr">
        <is>
          <t>Venezia</t>
        </is>
      </c>
      <c r="G43" s="71" t="n">
        <v>3</v>
      </c>
      <c r="H43" s="71" t="n">
        <v>1</v>
      </c>
      <c r="I43" s="72">
        <f>IF(OR($G43="",$H43=""),"",IF($G43&gt;$H43,"1",IF($G43=$H43,"X","2")))</f>
        <v/>
      </c>
      <c r="J43" s="25">
        <f>IF(OR($G43="",$H43=""),"",$G43&amp;"-"&amp;$H43)</f>
        <v/>
      </c>
      <c r="K43" s="73">
        <f>IF($E43="","Calendario da inserire",IF(OR($G43="",$H43=""),"Da giocare","Giocata"))</f>
        <v/>
      </c>
    </row>
    <row r="44">
      <c r="A44" s="69" t="inlineStr">
        <is>
          <t>G06-02</t>
        </is>
      </c>
      <c r="B44" s="25" t="n">
        <v>6</v>
      </c>
      <c r="C44" s="25" t="inlineStr">
        <is>
          <t>11/10/2026</t>
        </is>
      </c>
      <c r="D44" s="25" t="inlineStr">
        <is>
          <t>20:45</t>
        </is>
      </c>
      <c r="E44" s="70" t="inlineStr">
        <is>
          <t>Cagliari</t>
        </is>
      </c>
      <c r="F44" s="70" t="inlineStr">
        <is>
          <t>Juventus</t>
        </is>
      </c>
      <c r="G44" s="71" t="n">
        <v>1</v>
      </c>
      <c r="H44" s="71" t="n">
        <v>1</v>
      </c>
      <c r="I44" s="72">
        <f>IF(OR($G44="",$H44=""),"",IF($G44&gt;$H44,"1",IF($G44=$H44,"X","2")))</f>
        <v/>
      </c>
      <c r="J44" s="25">
        <f>IF(OR($G44="",$H44=""),"",$G44&amp;"-"&amp;$H44)</f>
        <v/>
      </c>
      <c r="K44" s="73">
        <f>IF($E44="","Calendario da inserire",IF(OR($G44="",$H44=""),"Da giocare","Giocata"))</f>
        <v/>
      </c>
    </row>
    <row r="45">
      <c r="A45" s="69" t="inlineStr">
        <is>
          <t>G06-03</t>
        </is>
      </c>
      <c r="B45" s="25" t="n">
        <v>6</v>
      </c>
      <c r="C45" s="25" t="inlineStr">
        <is>
          <t>11/10/2026</t>
        </is>
      </c>
      <c r="D45" s="25" t="inlineStr">
        <is>
          <t>12:30</t>
        </is>
      </c>
      <c r="E45" s="70" t="inlineStr">
        <is>
          <t>Como</t>
        </is>
      </c>
      <c r="F45" s="70" t="inlineStr">
        <is>
          <t>Roma</t>
        </is>
      </c>
      <c r="G45" s="71" t="n">
        <v>0</v>
      </c>
      <c r="H45" s="71" t="n">
        <v>0</v>
      </c>
      <c r="I45" s="72">
        <f>IF(OR($G45="",$H45=""),"",IF($G45&gt;$H45,"1",IF($G45=$H45,"X","2")))</f>
        <v/>
      </c>
      <c r="J45" s="25">
        <f>IF(OR($G45="",$H45=""),"",$G45&amp;"-"&amp;$H45)</f>
        <v/>
      </c>
      <c r="K45" s="73">
        <f>IF($E45="","Calendario da inserire",IF(OR($G45="",$H45=""),"Da giocare","Giocata"))</f>
        <v/>
      </c>
    </row>
    <row r="46">
      <c r="A46" s="69" t="inlineStr">
        <is>
          <t>G06-04</t>
        </is>
      </c>
      <c r="B46" s="25" t="n">
        <v>6</v>
      </c>
      <c r="C46" s="25" t="inlineStr">
        <is>
          <t>10/10/2026</t>
        </is>
      </c>
      <c r="D46" s="25" t="inlineStr">
        <is>
          <t>15:00</t>
        </is>
      </c>
      <c r="E46" s="70" t="inlineStr">
        <is>
          <t>Genoa</t>
        </is>
      </c>
      <c r="F46" s="70" t="inlineStr">
        <is>
          <t>Fiorentina</t>
        </is>
      </c>
      <c r="G46" s="71" t="n">
        <v>2</v>
      </c>
      <c r="H46" s="71" t="n">
        <v>1</v>
      </c>
      <c r="I46" s="72">
        <f>IF(OR($G46="",$H46=""),"",IF($G46&gt;$H46,"1",IF($G46=$H46,"X","2")))</f>
        <v/>
      </c>
      <c r="J46" s="25">
        <f>IF(OR($G46="",$H46=""),"",$G46&amp;"-"&amp;$H46)</f>
        <v/>
      </c>
      <c r="K46" s="73">
        <f>IF($E46="","Calendario da inserire",IF(OR($G46="",$H46=""),"Da giocare","Giocata"))</f>
        <v/>
      </c>
    </row>
    <row r="47">
      <c r="A47" s="69" t="inlineStr">
        <is>
          <t>G06-05</t>
        </is>
      </c>
      <c r="B47" s="25" t="n">
        <v>6</v>
      </c>
      <c r="C47" s="25" t="inlineStr">
        <is>
          <t>10/10/2026</t>
        </is>
      </c>
      <c r="D47" s="25" t="inlineStr">
        <is>
          <t>18:00</t>
        </is>
      </c>
      <c r="E47" s="70" t="inlineStr">
        <is>
          <t>Inter</t>
        </is>
      </c>
      <c r="F47" s="70" t="inlineStr">
        <is>
          <t>Parma</t>
        </is>
      </c>
      <c r="G47" s="71" t="n">
        <v>3</v>
      </c>
      <c r="H47" s="71" t="n">
        <v>0</v>
      </c>
      <c r="I47" s="72">
        <f>IF(OR($G47="",$H47=""),"",IF($G47&gt;$H47,"1",IF($G47=$H47,"X","2")))</f>
        <v/>
      </c>
      <c r="J47" s="25">
        <f>IF(OR($G47="",$H47=""),"",$G47&amp;"-"&amp;$H47)</f>
        <v/>
      </c>
      <c r="K47" s="73">
        <f>IF($E47="","Calendario da inserire",IF(OR($G47="",$H47=""),"Da giocare","Giocata"))</f>
        <v/>
      </c>
    </row>
    <row r="48">
      <c r="A48" s="69" t="inlineStr">
        <is>
          <t>G06-06</t>
        </is>
      </c>
      <c r="B48" s="25" t="n">
        <v>6</v>
      </c>
      <c r="C48" s="25" t="inlineStr">
        <is>
          <t>11/10/2026</t>
        </is>
      </c>
      <c r="D48" s="25" t="inlineStr">
        <is>
          <t>15:00</t>
        </is>
      </c>
      <c r="E48" s="70" t="inlineStr">
        <is>
          <t>Lazio</t>
        </is>
      </c>
      <c r="F48" s="70" t="inlineStr">
        <is>
          <t>Monza</t>
        </is>
      </c>
      <c r="G48" s="71" t="n">
        <v>3</v>
      </c>
      <c r="H48" s="71" t="n">
        <v>1</v>
      </c>
      <c r="I48" s="72">
        <f>IF(OR($G48="",$H48=""),"",IF($G48&gt;$H48,"1",IF($G48=$H48,"X","2")))</f>
        <v/>
      </c>
      <c r="J48" s="25">
        <f>IF(OR($G48="",$H48=""),"",$G48&amp;"-"&amp;$H48)</f>
        <v/>
      </c>
      <c r="K48" s="73">
        <f>IF($E48="","Calendario da inserire",IF(OR($G48="",$H48=""),"Da giocare","Giocata"))</f>
        <v/>
      </c>
    </row>
    <row r="49">
      <c r="A49" s="69" t="inlineStr">
        <is>
          <t>G06-07</t>
        </is>
      </c>
      <c r="B49" s="25" t="n">
        <v>6</v>
      </c>
      <c r="C49" s="25" t="inlineStr">
        <is>
          <t>11/10/2026</t>
        </is>
      </c>
      <c r="D49" s="25" t="inlineStr">
        <is>
          <t>15:00</t>
        </is>
      </c>
      <c r="E49" s="70" t="inlineStr">
        <is>
          <t>Lecce</t>
        </is>
      </c>
      <c r="F49" s="70" t="inlineStr">
        <is>
          <t>Bologna</t>
        </is>
      </c>
      <c r="G49" s="71" t="n">
        <v>1</v>
      </c>
      <c r="H49" s="71" t="n">
        <v>2</v>
      </c>
      <c r="I49" s="72">
        <f>IF(OR($G49="",$H49=""),"",IF($G49&gt;$H49,"1",IF($G49=$H49,"X","2")))</f>
        <v/>
      </c>
      <c r="J49" s="25">
        <f>IF(OR($G49="",$H49=""),"",$G49&amp;"-"&amp;$H49)</f>
        <v/>
      </c>
      <c r="K49" s="73">
        <f>IF($E49="","Calendario da inserire",IF(OR($G49="",$H49=""),"Da giocare","Giocata"))</f>
        <v/>
      </c>
    </row>
    <row r="50">
      <c r="A50" s="69" t="inlineStr">
        <is>
          <t>G06-08</t>
        </is>
      </c>
      <c r="B50" s="25" t="n">
        <v>6</v>
      </c>
      <c r="C50" s="25" t="inlineStr">
        <is>
          <t>10/10/2026</t>
        </is>
      </c>
      <c r="D50" s="25" t="inlineStr">
        <is>
          <t>20:45</t>
        </is>
      </c>
      <c r="E50" s="70" t="inlineStr">
        <is>
          <t>Napoli</t>
        </is>
      </c>
      <c r="F50" s="70" t="inlineStr">
        <is>
          <t>Frosinone</t>
        </is>
      </c>
      <c r="G50" s="71" t="n">
        <v>3</v>
      </c>
      <c r="H50" s="71" t="n">
        <v>0</v>
      </c>
      <c r="I50" s="72">
        <f>IF(OR($G50="",$H50=""),"",IF($G50&gt;$H50,"1",IF($G50=$H50,"X","2")))</f>
        <v/>
      </c>
      <c r="J50" s="25">
        <f>IF(OR($G50="",$H50=""),"",$G50&amp;"-"&amp;$H50)</f>
        <v/>
      </c>
      <c r="K50" s="73">
        <f>IF($E50="","Calendario da inserire",IF(OR($G50="",$H50=""),"Da giocare","Giocata"))</f>
        <v/>
      </c>
    </row>
    <row r="51">
      <c r="A51" s="69" t="inlineStr">
        <is>
          <t>G06-09</t>
        </is>
      </c>
      <c r="B51" s="25" t="n">
        <v>6</v>
      </c>
      <c r="C51" s="25" t="inlineStr">
        <is>
          <t>11/10/2026</t>
        </is>
      </c>
      <c r="D51" s="25" t="inlineStr">
        <is>
          <t>18:00</t>
        </is>
      </c>
      <c r="E51" s="70" t="inlineStr">
        <is>
          <t>Sassuolo</t>
        </is>
      </c>
      <c r="F51" s="70" t="inlineStr">
        <is>
          <t>Milan</t>
        </is>
      </c>
      <c r="G51" s="71" t="n">
        <v>1</v>
      </c>
      <c r="H51" s="71" t="n">
        <v>1</v>
      </c>
      <c r="I51" s="72">
        <f>IF(OR($G51="",$H51=""),"",IF($G51&gt;$H51,"1",IF($G51=$H51,"X","2")))</f>
        <v/>
      </c>
      <c r="J51" s="25">
        <f>IF(OR($G51="",$H51=""),"",$G51&amp;"-"&amp;$H51)</f>
        <v/>
      </c>
      <c r="K51" s="73">
        <f>IF($E51="","Calendario da inserire",IF(OR($G51="",$H51=""),"Da giocare","Giocata"))</f>
        <v/>
      </c>
    </row>
    <row r="52">
      <c r="A52" s="69" t="inlineStr">
        <is>
          <t>G06-10</t>
        </is>
      </c>
      <c r="B52" s="25" t="n">
        <v>6</v>
      </c>
      <c r="C52" s="25" t="inlineStr">
        <is>
          <t>12/10/2026</t>
        </is>
      </c>
      <c r="D52" s="25" t="inlineStr">
        <is>
          <t>20:45</t>
        </is>
      </c>
      <c r="E52" s="70" t="inlineStr">
        <is>
          <t>Torino</t>
        </is>
      </c>
      <c r="F52" s="70" t="inlineStr">
        <is>
          <t>Udinese</t>
        </is>
      </c>
      <c r="G52" s="71" t="n">
        <v>2</v>
      </c>
      <c r="H52" s="71" t="n">
        <v>1</v>
      </c>
      <c r="I52" s="72">
        <f>IF(OR($G52="",$H52=""),"",IF($G52&gt;$H52,"1",IF($G52=$H52,"X","2")))</f>
        <v/>
      </c>
      <c r="J52" s="25">
        <f>IF(OR($G52="",$H52=""),"",$G52&amp;"-"&amp;$H52)</f>
        <v/>
      </c>
      <c r="K52" s="73">
        <f>IF($E52="","Calendario da inserire",IF(OR($G52="",$H52=""),"Da giocare","Giocata"))</f>
        <v/>
      </c>
    </row>
    <row r="53">
      <c r="A53" s="74" t="inlineStr">
        <is>
          <t>G07-01</t>
        </is>
      </c>
      <c r="B53" s="30" t="n">
        <v>7</v>
      </c>
      <c r="C53" s="30" t="inlineStr">
        <is>
          <t>16/10/2026</t>
        </is>
      </c>
      <c r="D53" s="30" t="inlineStr">
        <is>
          <t>20:45</t>
        </is>
      </c>
      <c r="E53" s="75" t="inlineStr">
        <is>
          <t>Frosinone</t>
        </is>
      </c>
      <c r="F53" s="75" t="inlineStr">
        <is>
          <t>Sassuolo</t>
        </is>
      </c>
      <c r="G53" s="71" t="n">
        <v>4</v>
      </c>
      <c r="H53" s="71" t="n">
        <v>2</v>
      </c>
      <c r="I53" s="76">
        <f>IF(OR($G53="",$H53=""),"",IF($G53&gt;$H53,"1",IF($G53=$H53,"X","2")))</f>
        <v/>
      </c>
      <c r="J53" s="30">
        <f>IF(OR($G53="",$H53=""),"",$G53&amp;"-"&amp;$H53)</f>
        <v/>
      </c>
      <c r="K53" s="77">
        <f>IF($E53="","Calendario da inserire",IF(OR($G53="",$H53=""),"Da giocare","Giocata"))</f>
        <v/>
      </c>
    </row>
    <row r="54">
      <c r="A54" s="74" t="inlineStr">
        <is>
          <t>G07-02</t>
        </is>
      </c>
      <c r="B54" s="30" t="n">
        <v>7</v>
      </c>
      <c r="C54" s="30" t="inlineStr">
        <is>
          <t>17/10/2026</t>
        </is>
      </c>
      <c r="D54" s="30" t="inlineStr">
        <is>
          <t>15:00</t>
        </is>
      </c>
      <c r="E54" s="75" t="inlineStr">
        <is>
          <t>Venezia</t>
        </is>
      </c>
      <c r="F54" s="75" t="inlineStr">
        <is>
          <t>Napoli</t>
        </is>
      </c>
      <c r="G54" s="71" t="n">
        <v>1</v>
      </c>
      <c r="H54" s="71" t="n">
        <v>0</v>
      </c>
      <c r="I54" s="76">
        <f>IF(OR($G54="",$H54=""),"",IF($G54&gt;$H54,"1",IF($G54=$H54,"X","2")))</f>
        <v/>
      </c>
      <c r="J54" s="30">
        <f>IF(OR($G54="",$H54=""),"",$G54&amp;"-"&amp;$H54)</f>
        <v/>
      </c>
      <c r="K54" s="77">
        <f>IF($E54="","Calendario da inserire",IF(OR($G54="",$H54=""),"Da giocare","Giocata"))</f>
        <v/>
      </c>
    </row>
    <row r="55">
      <c r="A55" s="74" t="inlineStr">
        <is>
          <t>G07-03</t>
        </is>
      </c>
      <c r="B55" s="30" t="n">
        <v>7</v>
      </c>
      <c r="C55" s="30" t="inlineStr">
        <is>
          <t>17/10/2026</t>
        </is>
      </c>
      <c r="D55" s="30" t="inlineStr">
        <is>
          <t>18:00</t>
        </is>
      </c>
      <c r="E55" s="75" t="inlineStr">
        <is>
          <t>Bologna</t>
        </is>
      </c>
      <c r="F55" s="75" t="inlineStr">
        <is>
          <t>Inter</t>
        </is>
      </c>
      <c r="G55" s="71" t="n">
        <v>1</v>
      </c>
      <c r="H55" s="71" t="n">
        <v>3</v>
      </c>
      <c r="I55" s="76">
        <f>IF(OR($G55="",$H55=""),"",IF($G55&gt;$H55,"1",IF($G55=$H55,"X","2")))</f>
        <v/>
      </c>
      <c r="J55" s="30">
        <f>IF(OR($G55="",$H55=""),"",$G55&amp;"-"&amp;$H55)</f>
        <v/>
      </c>
      <c r="K55" s="77">
        <f>IF($E55="","Calendario da inserire",IF(OR($G55="",$H55=""),"Da giocare","Giocata"))</f>
        <v/>
      </c>
    </row>
    <row r="56">
      <c r="A56" s="74" t="inlineStr">
        <is>
          <t>G07-04</t>
        </is>
      </c>
      <c r="B56" s="30" t="n">
        <v>7</v>
      </c>
      <c r="C56" s="30" t="inlineStr">
        <is>
          <t>17/10/2026</t>
        </is>
      </c>
      <c r="D56" s="30" t="inlineStr">
        <is>
          <t>20:45</t>
        </is>
      </c>
      <c r="E56" s="75" t="inlineStr">
        <is>
          <t>Roma</t>
        </is>
      </c>
      <c r="F56" s="75" t="inlineStr">
        <is>
          <t>Genoa</t>
        </is>
      </c>
      <c r="G56" s="71" t="n">
        <v>2</v>
      </c>
      <c r="H56" s="71" t="n">
        <v>0</v>
      </c>
      <c r="I56" s="76">
        <f>IF(OR($G56="",$H56=""),"",IF($G56&gt;$H56,"1",IF($G56=$H56,"X","2")))</f>
        <v/>
      </c>
      <c r="J56" s="30">
        <f>IF(OR($G56="",$H56=""),"",$G56&amp;"-"&amp;$H56)</f>
        <v/>
      </c>
      <c r="K56" s="77">
        <f>IF($E56="","Calendario da inserire",IF(OR($G56="",$H56=""),"Da giocare","Giocata"))</f>
        <v/>
      </c>
    </row>
    <row r="57">
      <c r="A57" s="74" t="inlineStr">
        <is>
          <t>G07-05</t>
        </is>
      </c>
      <c r="B57" s="30" t="n">
        <v>7</v>
      </c>
      <c r="C57" s="30" t="inlineStr">
        <is>
          <t>18/10/2026</t>
        </is>
      </c>
      <c r="D57" s="30" t="inlineStr">
        <is>
          <t>12:30</t>
        </is>
      </c>
      <c r="E57" s="75" t="inlineStr">
        <is>
          <t>Udinese</t>
        </is>
      </c>
      <c r="F57" s="75" t="inlineStr">
        <is>
          <t>Lecce</t>
        </is>
      </c>
      <c r="G57" s="71" t="n">
        <v>0</v>
      </c>
      <c r="H57" s="71" t="n">
        <v>3</v>
      </c>
      <c r="I57" s="76">
        <f>IF(OR($G57="",$H57=""),"",IF($G57&gt;$H57,"1",IF($G57=$H57,"X","2")))</f>
        <v/>
      </c>
      <c r="J57" s="30">
        <f>IF(OR($G57="",$H57=""),"",$G57&amp;"-"&amp;$H57)</f>
        <v/>
      </c>
      <c r="K57" s="77">
        <f>IF($E57="","Calendario da inserire",IF(OR($G57="",$H57=""),"Da giocare","Giocata"))</f>
        <v/>
      </c>
    </row>
    <row r="58">
      <c r="A58" s="74" t="inlineStr">
        <is>
          <t>G07-06</t>
        </is>
      </c>
      <c r="B58" s="30" t="n">
        <v>7</v>
      </c>
      <c r="C58" s="30" t="inlineStr">
        <is>
          <t>18/10/2026</t>
        </is>
      </c>
      <c r="D58" s="30" t="inlineStr">
        <is>
          <t>15:00</t>
        </is>
      </c>
      <c r="E58" s="75" t="inlineStr">
        <is>
          <t>Fiorentina</t>
        </is>
      </c>
      <c r="F58" s="75" t="inlineStr">
        <is>
          <t>Como</t>
        </is>
      </c>
      <c r="G58" s="71" t="n">
        <v>1</v>
      </c>
      <c r="H58" s="71" t="n">
        <v>3</v>
      </c>
      <c r="I58" s="76">
        <f>IF(OR($G58="",$H58=""),"",IF($G58&gt;$H58,"1",IF($G58=$H58,"X","2")))</f>
        <v/>
      </c>
      <c r="J58" s="30">
        <f>IF(OR($G58="",$H58=""),"",$G58&amp;"-"&amp;$H58)</f>
        <v/>
      </c>
      <c r="K58" s="77">
        <f>IF($E58="","Calendario da inserire",IF(OR($G58="",$H58=""),"Da giocare","Giocata"))</f>
        <v/>
      </c>
    </row>
    <row r="59">
      <c r="A59" s="74" t="inlineStr">
        <is>
          <t>G07-07</t>
        </is>
      </c>
      <c r="B59" s="30" t="n">
        <v>7</v>
      </c>
      <c r="C59" s="30" t="inlineStr">
        <is>
          <t>18/10/2026</t>
        </is>
      </c>
      <c r="D59" s="30" t="inlineStr">
        <is>
          <t>18:00</t>
        </is>
      </c>
      <c r="E59" s="75" t="inlineStr">
        <is>
          <t>Milan</t>
        </is>
      </c>
      <c r="F59" s="75" t="inlineStr">
        <is>
          <t>Atalanta</t>
        </is>
      </c>
      <c r="G59" s="71" t="n">
        <v>3</v>
      </c>
      <c r="H59" s="71" t="n">
        <v>2</v>
      </c>
      <c r="I59" s="76">
        <f>IF(OR($G59="",$H59=""),"",IF($G59&gt;$H59,"1",IF($G59=$H59,"X","2")))</f>
        <v/>
      </c>
      <c r="J59" s="30">
        <f>IF(OR($G59="",$H59=""),"",$G59&amp;"-"&amp;$H59)</f>
        <v/>
      </c>
      <c r="K59" s="77">
        <f>IF($E59="","Calendario da inserire",IF(OR($G59="",$H59=""),"Da giocare","Giocata"))</f>
        <v/>
      </c>
    </row>
    <row r="60">
      <c r="A60" s="74" t="inlineStr">
        <is>
          <t>G07-08</t>
        </is>
      </c>
      <c r="B60" s="30" t="n">
        <v>7</v>
      </c>
      <c r="C60" s="30" t="inlineStr">
        <is>
          <t>18/10/2026</t>
        </is>
      </c>
      <c r="D60" s="30" t="inlineStr">
        <is>
          <t>20:45</t>
        </is>
      </c>
      <c r="E60" s="75" t="inlineStr">
        <is>
          <t>Juventus</t>
        </is>
      </c>
      <c r="F60" s="75" t="inlineStr">
        <is>
          <t>Lazio</t>
        </is>
      </c>
      <c r="G60" s="71" t="n">
        <v>0</v>
      </c>
      <c r="H60" s="71" t="n">
        <v>3</v>
      </c>
      <c r="I60" s="76">
        <f>IF(OR($G60="",$H60=""),"",IF($G60&gt;$H60,"1",IF($G60=$H60,"X","2")))</f>
        <v/>
      </c>
      <c r="J60" s="30">
        <f>IF(OR($G60="",$H60=""),"",$G60&amp;"-"&amp;$H60)</f>
        <v/>
      </c>
      <c r="K60" s="77">
        <f>IF($E60="","Calendario da inserire",IF(OR($G60="",$H60=""),"Da giocare","Giocata"))</f>
        <v/>
      </c>
    </row>
    <row r="61">
      <c r="A61" s="74" t="inlineStr">
        <is>
          <t>G07-09</t>
        </is>
      </c>
      <c r="B61" s="30" t="n">
        <v>7</v>
      </c>
      <c r="C61" s="30" t="inlineStr">
        <is>
          <t>19/10/2026</t>
        </is>
      </c>
      <c r="D61" s="30" t="inlineStr">
        <is>
          <t>18:30</t>
        </is>
      </c>
      <c r="E61" s="75" t="inlineStr">
        <is>
          <t>Monza</t>
        </is>
      </c>
      <c r="F61" s="75" t="inlineStr">
        <is>
          <t>Cagliari</t>
        </is>
      </c>
      <c r="G61" s="71" t="n">
        <v>4</v>
      </c>
      <c r="H61" s="71" t="n">
        <v>0</v>
      </c>
      <c r="I61" s="76">
        <f>IF(OR($G61="",$H61=""),"",IF($G61&gt;$H61,"1",IF($G61=$H61,"X","2")))</f>
        <v/>
      </c>
      <c r="J61" s="30">
        <f>IF(OR($G61="",$H61=""),"",$G61&amp;"-"&amp;$H61)</f>
        <v/>
      </c>
      <c r="K61" s="77">
        <f>IF($E61="","Calendario da inserire",IF(OR($G61="",$H61=""),"Da giocare","Giocata"))</f>
        <v/>
      </c>
    </row>
    <row r="62">
      <c r="A62" s="74" t="inlineStr">
        <is>
          <t>G07-10</t>
        </is>
      </c>
      <c r="B62" s="30" t="n">
        <v>7</v>
      </c>
      <c r="C62" s="30" t="inlineStr">
        <is>
          <t>19/10/2026</t>
        </is>
      </c>
      <c r="D62" s="30" t="inlineStr">
        <is>
          <t>20:45</t>
        </is>
      </c>
      <c r="E62" s="75" t="inlineStr">
        <is>
          <t>Parma</t>
        </is>
      </c>
      <c r="F62" s="75" t="inlineStr">
        <is>
          <t>Torino</t>
        </is>
      </c>
      <c r="G62" s="71" t="n">
        <v>0</v>
      </c>
      <c r="H62" s="71" t="n">
        <v>3</v>
      </c>
      <c r="I62" s="76">
        <f>IF(OR($G62="",$H62=""),"",IF($G62&gt;$H62,"1",IF($G62=$H62,"X","2")))</f>
        <v/>
      </c>
      <c r="J62" s="30">
        <f>IF(OR($G62="",$H62=""),"",$G62&amp;"-"&amp;$H62)</f>
        <v/>
      </c>
      <c r="K62" s="77">
        <f>IF($E62="","Calendario da inserire",IF(OR($G62="",$H62=""),"Da giocare","Giocata"))</f>
        <v/>
      </c>
    </row>
    <row r="63">
      <c r="A63" s="69" t="inlineStr">
        <is>
          <t>G08-01</t>
        </is>
      </c>
      <c r="B63" s="25" t="n">
        <v>8</v>
      </c>
      <c r="C63" s="25" t="inlineStr">
        <is>
          <t>23/10/2026</t>
        </is>
      </c>
      <c r="D63" s="25" t="inlineStr">
        <is>
          <t>20:45</t>
        </is>
      </c>
      <c r="E63" s="70" t="inlineStr">
        <is>
          <t>Torino</t>
        </is>
      </c>
      <c r="F63" s="70" t="inlineStr">
        <is>
          <t>Monza</t>
        </is>
      </c>
      <c r="G63" s="71" t="n">
        <v>3</v>
      </c>
      <c r="H63" s="71" t="n">
        <v>2</v>
      </c>
      <c r="I63" s="72">
        <f>IF(OR($G63="",$H63=""),"",IF($G63&gt;$H63,"1",IF($G63=$H63,"X","2")))</f>
        <v/>
      </c>
      <c r="J63" s="25">
        <f>IF(OR($G63="",$H63=""),"",$G63&amp;"-"&amp;$H63)</f>
        <v/>
      </c>
      <c r="K63" s="73">
        <f>IF($E63="","Calendario da inserire",IF(OR($G63="",$H63=""),"Da giocare","Giocata"))</f>
        <v/>
      </c>
    </row>
    <row r="64">
      <c r="A64" s="69" t="inlineStr">
        <is>
          <t>G08-02</t>
        </is>
      </c>
      <c r="B64" s="25" t="n">
        <v>8</v>
      </c>
      <c r="C64" s="25" t="inlineStr">
        <is>
          <t>24/10/2026</t>
        </is>
      </c>
      <c r="D64" s="25" t="inlineStr">
        <is>
          <t>15:00</t>
        </is>
      </c>
      <c r="E64" s="70" t="inlineStr">
        <is>
          <t>Cagliari</t>
        </is>
      </c>
      <c r="F64" s="70" t="inlineStr">
        <is>
          <t>Bologna</t>
        </is>
      </c>
      <c r="G64" s="71" t="n">
        <v>0</v>
      </c>
      <c r="H64" s="71" t="n">
        <v>2</v>
      </c>
      <c r="I64" s="72">
        <f>IF(OR($G64="",$H64=""),"",IF($G64&gt;$H64,"1",IF($G64=$H64,"X","2")))</f>
        <v/>
      </c>
      <c r="J64" s="25">
        <f>IF(OR($G64="",$H64=""),"",$G64&amp;"-"&amp;$H64)</f>
        <v/>
      </c>
      <c r="K64" s="73">
        <f>IF($E64="","Calendario da inserire",IF(OR($G64="",$H64=""),"Da giocare","Giocata"))</f>
        <v/>
      </c>
    </row>
    <row r="65">
      <c r="A65" s="69" t="inlineStr">
        <is>
          <t>G08-03</t>
        </is>
      </c>
      <c r="B65" s="25" t="n">
        <v>8</v>
      </c>
      <c r="C65" s="25" t="inlineStr">
        <is>
          <t>24/10/2026</t>
        </is>
      </c>
      <c r="D65" s="25" t="inlineStr">
        <is>
          <t>15:00</t>
        </is>
      </c>
      <c r="E65" s="70" t="inlineStr">
        <is>
          <t>Como</t>
        </is>
      </c>
      <c r="F65" s="70" t="inlineStr">
        <is>
          <t>Sassuolo</t>
        </is>
      </c>
      <c r="G65" s="71" t="n">
        <v>2</v>
      </c>
      <c r="H65" s="71" t="n">
        <v>0</v>
      </c>
      <c r="I65" s="72">
        <f>IF(OR($G65="",$H65=""),"",IF($G65&gt;$H65,"1",IF($G65=$H65,"X","2")))</f>
        <v/>
      </c>
      <c r="J65" s="25">
        <f>IF(OR($G65="",$H65=""),"",$G65&amp;"-"&amp;$H65)</f>
        <v/>
      </c>
      <c r="K65" s="73">
        <f>IF($E65="","Calendario da inserire",IF(OR($G65="",$H65=""),"Da giocare","Giocata"))</f>
        <v/>
      </c>
    </row>
    <row r="66">
      <c r="A66" s="69" t="inlineStr">
        <is>
          <t>G08-04</t>
        </is>
      </c>
      <c r="B66" s="25" t="n">
        <v>8</v>
      </c>
      <c r="C66" s="25" t="inlineStr">
        <is>
          <t>24/10/2026</t>
        </is>
      </c>
      <c r="D66" s="25" t="inlineStr">
        <is>
          <t>18:00</t>
        </is>
      </c>
      <c r="E66" s="70" t="inlineStr">
        <is>
          <t>Napoli</t>
        </is>
      </c>
      <c r="F66" s="70" t="inlineStr">
        <is>
          <t>Roma</t>
        </is>
      </c>
      <c r="G66" s="71" t="n">
        <v>3</v>
      </c>
      <c r="H66" s="71" t="n">
        <v>3</v>
      </c>
      <c r="I66" s="72">
        <f>IF(OR($G66="",$H66=""),"",IF($G66&gt;$H66,"1",IF($G66=$H66,"X","2")))</f>
        <v/>
      </c>
      <c r="J66" s="25">
        <f>IF(OR($G66="",$H66=""),"",$G66&amp;"-"&amp;$H66)</f>
        <v/>
      </c>
      <c r="K66" s="73">
        <f>IF($E66="","Calendario da inserire",IF(OR($G66="",$H66=""),"Da giocare","Giocata"))</f>
        <v/>
      </c>
    </row>
    <row r="67">
      <c r="A67" s="69" t="inlineStr">
        <is>
          <t>G08-05</t>
        </is>
      </c>
      <c r="B67" s="25" t="n">
        <v>8</v>
      </c>
      <c r="C67" s="25" t="inlineStr">
        <is>
          <t>24/10/2026</t>
        </is>
      </c>
      <c r="D67" s="25" t="inlineStr">
        <is>
          <t>20:45</t>
        </is>
      </c>
      <c r="E67" s="70" t="inlineStr">
        <is>
          <t>Lazio</t>
        </is>
      </c>
      <c r="F67" s="70" t="inlineStr">
        <is>
          <t>Parma</t>
        </is>
      </c>
      <c r="G67" s="71" t="n">
        <v>2</v>
      </c>
      <c r="H67" s="71" t="n">
        <v>1</v>
      </c>
      <c r="I67" s="72">
        <f>IF(OR($G67="",$H67=""),"",IF($G67&gt;$H67,"1",IF($G67=$H67,"X","2")))</f>
        <v/>
      </c>
      <c r="J67" s="25">
        <f>IF(OR($G67="",$H67=""),"",$G67&amp;"-"&amp;$H67)</f>
        <v/>
      </c>
      <c r="K67" s="73">
        <f>IF($E67="","Calendario da inserire",IF(OR($G67="",$H67=""),"Da giocare","Giocata"))</f>
        <v/>
      </c>
    </row>
    <row r="68">
      <c r="A68" s="69" t="inlineStr">
        <is>
          <t>G08-06</t>
        </is>
      </c>
      <c r="B68" s="25" t="n">
        <v>8</v>
      </c>
      <c r="C68" s="25" t="inlineStr">
        <is>
          <t>25/10/2026</t>
        </is>
      </c>
      <c r="D68" s="25" t="inlineStr">
        <is>
          <t>12:30</t>
        </is>
      </c>
      <c r="E68" s="70" t="inlineStr">
        <is>
          <t>Inter</t>
        </is>
      </c>
      <c r="F68" s="70" t="inlineStr">
        <is>
          <t>Fiorentina</t>
        </is>
      </c>
      <c r="G68" s="71" t="n"/>
      <c r="H68" s="71" t="n"/>
      <c r="I68" s="72">
        <f>IF(OR($G68="",$H68=""),"",IF($G68&gt;$H68,"1",IF($G68=$H68,"X","2")))</f>
        <v/>
      </c>
      <c r="J68" s="25">
        <f>IF(OR($G68="",$H68=""),"",$G68&amp;"-"&amp;$H68)</f>
        <v/>
      </c>
      <c r="K68" s="73">
        <f>IF($E68="","Calendario da inserire",IF(OR($G68="",$H68=""),"Da giocare","Giocata"))</f>
        <v/>
      </c>
    </row>
    <row r="69">
      <c r="A69" s="69" t="inlineStr">
        <is>
          <t>G08-07</t>
        </is>
      </c>
      <c r="B69" s="25" t="n">
        <v>8</v>
      </c>
      <c r="C69" s="25" t="inlineStr">
        <is>
          <t>25/10/2026</t>
        </is>
      </c>
      <c r="D69" s="25" t="inlineStr">
        <is>
          <t>15:00</t>
        </is>
      </c>
      <c r="E69" s="70" t="inlineStr">
        <is>
          <t>Atalanta</t>
        </is>
      </c>
      <c r="F69" s="70" t="inlineStr">
        <is>
          <t>Frosinone</t>
        </is>
      </c>
      <c r="G69" s="71" t="n"/>
      <c r="H69" s="71" t="n"/>
      <c r="I69" s="72">
        <f>IF(OR($G69="",$H69=""),"",IF($G69&gt;$H69,"1",IF($G69=$H69,"X","2")))</f>
        <v/>
      </c>
      <c r="J69" s="25">
        <f>IF(OR($G69="",$H69=""),"",$G69&amp;"-"&amp;$H69)</f>
        <v/>
      </c>
      <c r="K69" s="73">
        <f>IF($E69="","Calendario da inserire",IF(OR($G69="",$H69=""),"Da giocare","Giocata"))</f>
        <v/>
      </c>
    </row>
    <row r="70">
      <c r="A70" s="69" t="inlineStr">
        <is>
          <t>G08-08</t>
        </is>
      </c>
      <c r="B70" s="25" t="n">
        <v>8</v>
      </c>
      <c r="C70" s="25" t="inlineStr">
        <is>
          <t>25/10/2026</t>
        </is>
      </c>
      <c r="D70" s="25" t="inlineStr">
        <is>
          <t>15:00</t>
        </is>
      </c>
      <c r="E70" s="70" t="inlineStr">
        <is>
          <t>Genoa</t>
        </is>
      </c>
      <c r="F70" s="70" t="inlineStr">
        <is>
          <t>Venezia</t>
        </is>
      </c>
      <c r="G70" s="71" t="n"/>
      <c r="H70" s="71" t="n"/>
      <c r="I70" s="72">
        <f>IF(OR($G70="",$H70=""),"",IF($G70&gt;$H70,"1",IF($G70=$H70,"X","2")))</f>
        <v/>
      </c>
      <c r="J70" s="25">
        <f>IF(OR($G70="",$H70=""),"",$G70&amp;"-"&amp;$H70)</f>
        <v/>
      </c>
      <c r="K70" s="73">
        <f>IF($E70="","Calendario da inserire",IF(OR($G70="",$H70=""),"Da giocare","Giocata"))</f>
        <v/>
      </c>
    </row>
    <row r="71">
      <c r="A71" s="69" t="inlineStr">
        <is>
          <t>G08-09</t>
        </is>
      </c>
      <c r="B71" s="25" t="n">
        <v>8</v>
      </c>
      <c r="C71" s="25" t="inlineStr">
        <is>
          <t>25/10/2026</t>
        </is>
      </c>
      <c r="D71" s="25" t="inlineStr">
        <is>
          <t>18:00</t>
        </is>
      </c>
      <c r="E71" s="70" t="inlineStr">
        <is>
          <t>Lecce</t>
        </is>
      </c>
      <c r="F71" s="70" t="inlineStr">
        <is>
          <t>Juventus</t>
        </is>
      </c>
      <c r="G71" s="71" t="n"/>
      <c r="H71" s="71" t="n"/>
      <c r="I71" s="72">
        <f>IF(OR($G71="",$H71=""),"",IF($G71&gt;$H71,"1",IF($G71=$H71,"X","2")))</f>
        <v/>
      </c>
      <c r="J71" s="25">
        <f>IF(OR($G71="",$H71=""),"",$G71&amp;"-"&amp;$H71)</f>
        <v/>
      </c>
      <c r="K71" s="73">
        <f>IF($E71="","Calendario da inserire",IF(OR($G71="",$H71=""),"Da giocare","Giocata"))</f>
        <v/>
      </c>
    </row>
    <row r="72">
      <c r="A72" s="69" t="inlineStr">
        <is>
          <t>G08-10</t>
        </is>
      </c>
      <c r="B72" s="25" t="n">
        <v>8</v>
      </c>
      <c r="C72" s="25" t="inlineStr">
        <is>
          <t>25/10/2026</t>
        </is>
      </c>
      <c r="D72" s="25" t="inlineStr">
        <is>
          <t>20:45</t>
        </is>
      </c>
      <c r="E72" s="70" t="inlineStr">
        <is>
          <t>Udinese</t>
        </is>
      </c>
      <c r="F72" s="70" t="inlineStr">
        <is>
          <t>Milan</t>
        </is>
      </c>
      <c r="G72" s="71" t="n"/>
      <c r="H72" s="71" t="n"/>
      <c r="I72" s="72">
        <f>IF(OR($G72="",$H72=""),"",IF($G72&gt;$H72,"1",IF($G72=$H72,"X","2")))</f>
        <v/>
      </c>
      <c r="J72" s="25">
        <f>IF(OR($G72="",$H72=""),"",$G72&amp;"-"&amp;$H72)</f>
        <v/>
      </c>
      <c r="K72" s="73">
        <f>IF($E72="","Calendario da inserire",IF(OR($G72="",$H72=""),"Da giocare","Giocata"))</f>
        <v/>
      </c>
    </row>
    <row r="73">
      <c r="A73" s="74" t="inlineStr">
        <is>
          <t>G09-01</t>
        </is>
      </c>
      <c r="B73" s="30" t="n">
        <v>9</v>
      </c>
      <c r="C73" s="30" t="inlineStr">
        <is>
          <t>27/10/2026</t>
        </is>
      </c>
      <c r="D73" s="30" t="inlineStr">
        <is>
          <t>18:30</t>
        </is>
      </c>
      <c r="E73" s="75" t="inlineStr">
        <is>
          <t>Sassuolo</t>
        </is>
      </c>
      <c r="F73" s="75" t="inlineStr">
        <is>
          <t>Lazio</t>
        </is>
      </c>
      <c r="G73" s="71" t="n"/>
      <c r="H73" s="71" t="n"/>
      <c r="I73" s="76">
        <f>IF(OR($G73="",$H73=""),"",IF($G73&gt;$H73,"1",IF($G73=$H73,"X","2")))</f>
        <v/>
      </c>
      <c r="J73" s="30">
        <f>IF(OR($G73="",$H73=""),"",$G73&amp;"-"&amp;$H73)</f>
        <v/>
      </c>
      <c r="K73" s="77">
        <f>IF($E73="","Calendario da inserire",IF(OR($G73="",$H73=""),"Da giocare","Giocata"))</f>
        <v/>
      </c>
    </row>
    <row r="74">
      <c r="A74" s="74" t="inlineStr">
        <is>
          <t>G09-02</t>
        </is>
      </c>
      <c r="B74" s="30" t="n">
        <v>9</v>
      </c>
      <c r="C74" s="30" t="inlineStr">
        <is>
          <t>27/10/2026</t>
        </is>
      </c>
      <c r="D74" s="30" t="inlineStr">
        <is>
          <t>20:45</t>
        </is>
      </c>
      <c r="E74" s="75" t="inlineStr">
        <is>
          <t>Roma</t>
        </is>
      </c>
      <c r="F74" s="75" t="inlineStr">
        <is>
          <t>Cagliari</t>
        </is>
      </c>
      <c r="G74" s="71" t="n"/>
      <c r="H74" s="71" t="n"/>
      <c r="I74" s="76">
        <f>IF(OR($G74="",$H74=""),"",IF($G74&gt;$H74,"1",IF($G74=$H74,"X","2")))</f>
        <v/>
      </c>
      <c r="J74" s="30">
        <f>IF(OR($G74="",$H74=""),"",$G74&amp;"-"&amp;$H74)</f>
        <v/>
      </c>
      <c r="K74" s="77">
        <f>IF($E74="","Calendario da inserire",IF(OR($G74="",$H74=""),"Da giocare","Giocata"))</f>
        <v/>
      </c>
    </row>
    <row r="75">
      <c r="A75" s="74" t="inlineStr">
        <is>
          <t>G09-03</t>
        </is>
      </c>
      <c r="B75" s="30" t="n">
        <v>9</v>
      </c>
      <c r="C75" s="30" t="inlineStr">
        <is>
          <t>27/10/2026</t>
        </is>
      </c>
      <c r="D75" s="30" t="inlineStr">
        <is>
          <t>20:45</t>
        </is>
      </c>
      <c r="E75" s="75" t="inlineStr">
        <is>
          <t>Torino</t>
        </is>
      </c>
      <c r="F75" s="75" t="inlineStr">
        <is>
          <t>Como</t>
        </is>
      </c>
      <c r="G75" s="71" t="n"/>
      <c r="H75" s="71" t="n"/>
      <c r="I75" s="76">
        <f>IF(OR($G75="",$H75=""),"",IF($G75&gt;$H75,"1",IF($G75=$H75,"X","2")))</f>
        <v/>
      </c>
      <c r="J75" s="30">
        <f>IF(OR($G75="",$H75=""),"",$G75&amp;"-"&amp;$H75)</f>
        <v/>
      </c>
      <c r="K75" s="77">
        <f>IF($E75="","Calendario da inserire",IF(OR($G75="",$H75=""),"Da giocare","Giocata"))</f>
        <v/>
      </c>
    </row>
    <row r="76">
      <c r="A76" s="74" t="inlineStr">
        <is>
          <t>G09-04</t>
        </is>
      </c>
      <c r="B76" s="30" t="n">
        <v>9</v>
      </c>
      <c r="C76" s="30" t="inlineStr">
        <is>
          <t>28/10/2026</t>
        </is>
      </c>
      <c r="D76" s="30" t="inlineStr">
        <is>
          <t>18:30</t>
        </is>
      </c>
      <c r="E76" s="75" t="inlineStr">
        <is>
          <t>Milan</t>
        </is>
      </c>
      <c r="F76" s="75" t="inlineStr">
        <is>
          <t>Bologna</t>
        </is>
      </c>
      <c r="G76" s="71" t="n"/>
      <c r="H76" s="71" t="n"/>
      <c r="I76" s="76">
        <f>IF(OR($G76="",$H76=""),"",IF($G76&gt;$H76,"1",IF($G76=$H76,"X","2")))</f>
        <v/>
      </c>
      <c r="J76" s="30">
        <f>IF(OR($G76="",$H76=""),"",$G76&amp;"-"&amp;$H76)</f>
        <v/>
      </c>
      <c r="K76" s="77">
        <f>IF($E76="","Calendario da inserire",IF(OR($G76="",$H76=""),"Da giocare","Giocata"))</f>
        <v/>
      </c>
    </row>
    <row r="77">
      <c r="A77" s="74" t="inlineStr">
        <is>
          <t>G09-05</t>
        </is>
      </c>
      <c r="B77" s="30" t="n">
        <v>9</v>
      </c>
      <c r="C77" s="30" t="inlineStr">
        <is>
          <t>28/10/2026</t>
        </is>
      </c>
      <c r="D77" s="30" t="inlineStr">
        <is>
          <t>18:30</t>
        </is>
      </c>
      <c r="E77" s="75" t="inlineStr">
        <is>
          <t>Parma</t>
        </is>
      </c>
      <c r="F77" s="75" t="inlineStr">
        <is>
          <t>Udinese</t>
        </is>
      </c>
      <c r="G77" s="71" t="n"/>
      <c r="H77" s="71" t="n"/>
      <c r="I77" s="76">
        <f>IF(OR($G77="",$H77=""),"",IF($G77&gt;$H77,"1",IF($G77=$H77,"X","2")))</f>
        <v/>
      </c>
      <c r="J77" s="30">
        <f>IF(OR($G77="",$H77=""),"",$G77&amp;"-"&amp;$H77)</f>
        <v/>
      </c>
      <c r="K77" s="77">
        <f>IF($E77="","Calendario da inserire",IF(OR($G77="",$H77=""),"Da giocare","Giocata"))</f>
        <v/>
      </c>
    </row>
    <row r="78">
      <c r="A78" s="74" t="inlineStr">
        <is>
          <t>G09-06</t>
        </is>
      </c>
      <c r="B78" s="30" t="n">
        <v>9</v>
      </c>
      <c r="C78" s="30" t="inlineStr">
        <is>
          <t>28/10/2026</t>
        </is>
      </c>
      <c r="D78" s="30" t="inlineStr">
        <is>
          <t>18:30</t>
        </is>
      </c>
      <c r="E78" s="75" t="inlineStr">
        <is>
          <t>Venezia</t>
        </is>
      </c>
      <c r="F78" s="75" t="inlineStr">
        <is>
          <t>Inter</t>
        </is>
      </c>
      <c r="G78" s="71" t="n"/>
      <c r="H78" s="71" t="n"/>
      <c r="I78" s="76">
        <f>IF(OR($G78="",$H78=""),"",IF($G78&gt;$H78,"1",IF($G78=$H78,"X","2")))</f>
        <v/>
      </c>
      <c r="J78" s="30">
        <f>IF(OR($G78="",$H78=""),"",$G78&amp;"-"&amp;$H78)</f>
        <v/>
      </c>
      <c r="K78" s="77">
        <f>IF($E78="","Calendario da inserire",IF(OR($G78="",$H78=""),"Da giocare","Giocata"))</f>
        <v/>
      </c>
    </row>
    <row r="79">
      <c r="A79" s="74" t="inlineStr">
        <is>
          <t>G09-07</t>
        </is>
      </c>
      <c r="B79" s="30" t="n">
        <v>9</v>
      </c>
      <c r="C79" s="30" t="inlineStr">
        <is>
          <t>28/10/2026</t>
        </is>
      </c>
      <c r="D79" s="30" t="inlineStr">
        <is>
          <t>20:45</t>
        </is>
      </c>
      <c r="E79" s="75" t="inlineStr">
        <is>
          <t>Genoa</t>
        </is>
      </c>
      <c r="F79" s="75" t="inlineStr">
        <is>
          <t>Juventus</t>
        </is>
      </c>
      <c r="G79" s="71" t="n"/>
      <c r="H79" s="71" t="n"/>
      <c r="I79" s="76">
        <f>IF(OR($G79="",$H79=""),"",IF($G79&gt;$H79,"1",IF($G79=$H79,"X","2")))</f>
        <v/>
      </c>
      <c r="J79" s="30">
        <f>IF(OR($G79="",$H79=""),"",$G79&amp;"-"&amp;$H79)</f>
        <v/>
      </c>
      <c r="K79" s="77">
        <f>IF($E79="","Calendario da inserire",IF(OR($G79="",$H79=""),"Da giocare","Giocata"))</f>
        <v/>
      </c>
    </row>
    <row r="80">
      <c r="A80" s="74" t="inlineStr">
        <is>
          <t>G09-08</t>
        </is>
      </c>
      <c r="B80" s="30" t="n">
        <v>9</v>
      </c>
      <c r="C80" s="30" t="inlineStr">
        <is>
          <t>28/10/2026</t>
        </is>
      </c>
      <c r="D80" s="30" t="inlineStr">
        <is>
          <t>20:45</t>
        </is>
      </c>
      <c r="E80" s="75" t="inlineStr">
        <is>
          <t>Monza</t>
        </is>
      </c>
      <c r="F80" s="75" t="inlineStr">
        <is>
          <t>Napoli</t>
        </is>
      </c>
      <c r="G80" s="71" t="n"/>
      <c r="H80" s="71" t="n"/>
      <c r="I80" s="76">
        <f>IF(OR($G80="",$H80=""),"",IF($G80&gt;$H80,"1",IF($G80=$H80,"X","2")))</f>
        <v/>
      </c>
      <c r="J80" s="30">
        <f>IF(OR($G80="",$H80=""),"",$G80&amp;"-"&amp;$H80)</f>
        <v/>
      </c>
      <c r="K80" s="77">
        <f>IF($E80="","Calendario da inserire",IF(OR($G80="",$H80=""),"Da giocare","Giocata"))</f>
        <v/>
      </c>
    </row>
    <row r="81">
      <c r="A81" s="74" t="inlineStr">
        <is>
          <t>G09-09</t>
        </is>
      </c>
      <c r="B81" s="30" t="n">
        <v>9</v>
      </c>
      <c r="C81" s="30" t="inlineStr">
        <is>
          <t>29/10/2026</t>
        </is>
      </c>
      <c r="D81" s="30" t="inlineStr">
        <is>
          <t>18:30</t>
        </is>
      </c>
      <c r="E81" s="75" t="inlineStr">
        <is>
          <t>Frosinone</t>
        </is>
      </c>
      <c r="F81" s="75" t="inlineStr">
        <is>
          <t>Lecce</t>
        </is>
      </c>
      <c r="G81" s="71" t="n"/>
      <c r="H81" s="71" t="n"/>
      <c r="I81" s="76">
        <f>IF(OR($G81="",$H81=""),"",IF($G81&gt;$H81,"1",IF($G81=$H81,"X","2")))</f>
        <v/>
      </c>
      <c r="J81" s="30">
        <f>IF(OR($G81="",$H81=""),"",$G81&amp;"-"&amp;$H81)</f>
        <v/>
      </c>
      <c r="K81" s="77">
        <f>IF($E81="","Calendario da inserire",IF(OR($G81="",$H81=""),"Da giocare","Giocata"))</f>
        <v/>
      </c>
    </row>
    <row r="82">
      <c r="A82" s="74" t="inlineStr">
        <is>
          <t>G09-10</t>
        </is>
      </c>
      <c r="B82" s="30" t="n">
        <v>9</v>
      </c>
      <c r="C82" s="30" t="inlineStr">
        <is>
          <t>29/10/2026</t>
        </is>
      </c>
      <c r="D82" s="30" t="inlineStr">
        <is>
          <t>20:45</t>
        </is>
      </c>
      <c r="E82" s="75" t="inlineStr">
        <is>
          <t>Fiorentina</t>
        </is>
      </c>
      <c r="F82" s="75" t="inlineStr">
        <is>
          <t>Atalanta</t>
        </is>
      </c>
      <c r="G82" s="71" t="n"/>
      <c r="H82" s="71" t="n"/>
      <c r="I82" s="76">
        <f>IF(OR($G82="",$H82=""),"",IF($G82&gt;$H82,"1",IF($G82=$H82,"X","2")))</f>
        <v/>
      </c>
      <c r="J82" s="30">
        <f>IF(OR($G82="",$H82=""),"",$G82&amp;"-"&amp;$H82)</f>
        <v/>
      </c>
      <c r="K82" s="77">
        <f>IF($E82="","Calendario da inserire",IF(OR($G82="",$H82=""),"Da giocare","Giocata"))</f>
        <v/>
      </c>
    </row>
  </sheetData>
  <autoFilter ref="A2:K82"/>
  <mergeCells count="3">
    <mergeCell ref="G1:H1"/>
    <mergeCell ref="A1:F1"/>
    <mergeCell ref="I1:K1"/>
  </mergeCells>
  <conditionalFormatting sqref="K3:K82">
    <cfRule type="cellIs" priority="1" operator="equal" dxfId="0">
      <formula>"Giocata"</formula>
    </cfRule>
  </conditionalFormatting>
  <pageMargins left="0.75" right="0.75" top="1" bottom="1" header="0.5" footer="0.5"/>
</worksheet>
</file>

<file path=xl/worksheets/sheet3.xml><?xml version="1.0" encoding="utf-8"?>
<worksheet xmlns="http://schemas.openxmlformats.org/spreadsheetml/2006/main">
  <sheetPr>
    <tabColor rgb="008A6D1F"/>
    <outlinePr summaryBelow="1" summaryRight="1"/>
    <pageSetUpPr/>
  </sheetPr>
  <dimension ref="A1:S82"/>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6" customWidth="1" min="3" max="3"/>
    <col width="16"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s>
  <sheetData>
    <row r="1" ht="22" customHeight="1">
      <c r="A1" s="65" t="inlineStr">
        <is>
          <t xml:space="preserve">  PARTITA</t>
        </is>
      </c>
      <c r="B1" s="2" t="n"/>
      <c r="C1" s="2" t="n"/>
      <c r="D1" s="2" t="n"/>
      <c r="E1" s="78">
        <f>Config!$A$6</f>
        <v/>
      </c>
      <c r="F1" s="79" t="n"/>
      <c r="G1" s="79" t="n"/>
      <c r="H1" s="80">
        <f>Config!$A$7</f>
        <v/>
      </c>
      <c r="I1" s="81" t="n"/>
      <c r="J1" s="81" t="n"/>
      <c r="K1" s="82">
        <f>Config!$A$8</f>
        <v/>
      </c>
      <c r="L1" s="83" t="n"/>
      <c r="M1" s="83" t="n"/>
      <c r="N1" s="84">
        <f>Config!$A$9</f>
        <v/>
      </c>
      <c r="O1" s="85" t="n"/>
      <c r="P1" s="85" t="n"/>
      <c r="Q1" s="86">
        <f>Config!$A$10</f>
        <v/>
      </c>
      <c r="R1" s="87" t="n"/>
      <c r="S1" s="87" t="n"/>
    </row>
    <row r="2" ht="18" customHeight="1">
      <c r="A2" s="38" t="inlineStr">
        <is>
          <t>ID</t>
        </is>
      </c>
      <c r="B2" s="38" t="inlineStr">
        <is>
          <t>G.</t>
        </is>
      </c>
      <c r="C2" s="38" t="inlineStr">
        <is>
          <t>Casa</t>
        </is>
      </c>
      <c r="D2" s="38" t="inlineStr">
        <is>
          <t>Ospite</t>
        </is>
      </c>
      <c r="E2" s="88" t="inlineStr">
        <is>
          <t>Segno</t>
        </is>
      </c>
      <c r="F2" s="88" t="inlineStr">
        <is>
          <t>Gol C</t>
        </is>
      </c>
      <c r="G2" s="88" t="inlineStr">
        <is>
          <t>Gol O</t>
        </is>
      </c>
      <c r="H2" s="89" t="inlineStr">
        <is>
          <t>Segno</t>
        </is>
      </c>
      <c r="I2" s="89" t="inlineStr">
        <is>
          <t>Gol C</t>
        </is>
      </c>
      <c r="J2" s="89" t="inlineStr">
        <is>
          <t>Gol O</t>
        </is>
      </c>
      <c r="K2" s="90" t="inlineStr">
        <is>
          <t>Segno</t>
        </is>
      </c>
      <c r="L2" s="90" t="inlineStr">
        <is>
          <t>Gol C</t>
        </is>
      </c>
      <c r="M2" s="90" t="inlineStr">
        <is>
          <t>Gol O</t>
        </is>
      </c>
      <c r="N2" s="91" t="inlineStr">
        <is>
          <t>Segno</t>
        </is>
      </c>
      <c r="O2" s="91" t="inlineStr">
        <is>
          <t>Gol C</t>
        </is>
      </c>
      <c r="P2" s="91" t="inlineStr">
        <is>
          <t>Gol O</t>
        </is>
      </c>
      <c r="Q2" s="92" t="inlineStr">
        <is>
          <t>Segno</t>
        </is>
      </c>
      <c r="R2" s="92" t="inlineStr">
        <is>
          <t>Gol C</t>
        </is>
      </c>
      <c r="S2" s="92" t="inlineStr">
        <is>
          <t>Gol O</t>
        </is>
      </c>
    </row>
    <row r="3">
      <c r="A3" s="69">
        <f>Partite!$A3</f>
        <v/>
      </c>
      <c r="B3" s="25">
        <f>Partite!$B3</f>
        <v/>
      </c>
      <c r="C3" s="70">
        <f>IF(Partite!$E3="","",Partite!$E3)</f>
        <v/>
      </c>
      <c r="D3" s="70">
        <f>IF(Partite!$F3="","",Partite!$F3)</f>
        <v/>
      </c>
      <c r="E3" s="71" t="inlineStr">
        <is>
          <t>1</t>
        </is>
      </c>
      <c r="F3" s="71" t="n">
        <v>4</v>
      </c>
      <c r="G3" s="71" t="n">
        <v>0</v>
      </c>
      <c r="H3" s="71" t="inlineStr">
        <is>
          <t>1</t>
        </is>
      </c>
      <c r="I3" s="71" t="n">
        <v>3</v>
      </c>
      <c r="J3" s="71" t="n">
        <v>0</v>
      </c>
      <c r="K3" s="71" t="inlineStr">
        <is>
          <t>X</t>
        </is>
      </c>
      <c r="L3" s="71" t="n">
        <v>0</v>
      </c>
      <c r="M3" s="71" t="n">
        <v>0</v>
      </c>
      <c r="N3" s="71" t="inlineStr">
        <is>
          <t>1</t>
        </is>
      </c>
      <c r="O3" s="71" t="n">
        <v>3</v>
      </c>
      <c r="P3" s="71" t="n">
        <v>1</v>
      </c>
      <c r="Q3" s="71" t="inlineStr">
        <is>
          <t>X</t>
        </is>
      </c>
      <c r="R3" s="71" t="n">
        <v>1</v>
      </c>
      <c r="S3" s="71" t="n">
        <v>1</v>
      </c>
    </row>
    <row r="4">
      <c r="A4" s="69">
        <f>Partite!$A4</f>
        <v/>
      </c>
      <c r="B4" s="25">
        <f>Partite!$B4</f>
        <v/>
      </c>
      <c r="C4" s="70">
        <f>IF(Partite!$E4="","",Partite!$E4)</f>
        <v/>
      </c>
      <c r="D4" s="70">
        <f>IF(Partite!$F4="","",Partite!$F4)</f>
        <v/>
      </c>
      <c r="E4" s="71" t="inlineStr">
        <is>
          <t>1</t>
        </is>
      </c>
      <c r="F4" s="71" t="n">
        <v>2</v>
      </c>
      <c r="G4" s="71" t="n">
        <v>1</v>
      </c>
      <c r="H4" s="71" t="inlineStr">
        <is>
          <t>1</t>
        </is>
      </c>
      <c r="I4" s="71" t="n">
        <v>2</v>
      </c>
      <c r="J4" s="71" t="n">
        <v>0</v>
      </c>
      <c r="K4" s="71" t="inlineStr">
        <is>
          <t>2</t>
        </is>
      </c>
      <c r="L4" s="71" t="n">
        <v>1</v>
      </c>
      <c r="M4" s="71" t="n">
        <v>2</v>
      </c>
      <c r="N4" s="71" t="inlineStr">
        <is>
          <t>1</t>
        </is>
      </c>
      <c r="O4" s="71" t="n">
        <v>1</v>
      </c>
      <c r="P4" s="71" t="n">
        <v>0</v>
      </c>
      <c r="Q4" s="71" t="inlineStr">
        <is>
          <t>1</t>
        </is>
      </c>
      <c r="R4" s="71" t="n">
        <v>2</v>
      </c>
      <c r="S4" s="71" t="n">
        <v>0</v>
      </c>
    </row>
    <row r="5">
      <c r="A5" s="69">
        <f>Partite!$A5</f>
        <v/>
      </c>
      <c r="B5" s="25">
        <f>Partite!$B5</f>
        <v/>
      </c>
      <c r="C5" s="70">
        <f>IF(Partite!$E5="","",Partite!$E5)</f>
        <v/>
      </c>
      <c r="D5" s="70">
        <f>IF(Partite!$F5="","",Partite!$F5)</f>
        <v/>
      </c>
      <c r="E5" s="71" t="inlineStr">
        <is>
          <t>2</t>
        </is>
      </c>
      <c r="F5" s="71" t="n">
        <v>0</v>
      </c>
      <c r="G5" s="71" t="n">
        <v>1</v>
      </c>
      <c r="H5" s="71" t="inlineStr">
        <is>
          <t>2</t>
        </is>
      </c>
      <c r="I5" s="71" t="n">
        <v>1</v>
      </c>
      <c r="J5" s="71" t="n">
        <v>2</v>
      </c>
      <c r="K5" s="71" t="inlineStr">
        <is>
          <t>2</t>
        </is>
      </c>
      <c r="L5" s="71" t="n">
        <v>0</v>
      </c>
      <c r="M5" s="71" t="n">
        <v>3</v>
      </c>
      <c r="N5" s="71" t="inlineStr">
        <is>
          <t>X</t>
        </is>
      </c>
      <c r="O5" s="71" t="n">
        <v>1</v>
      </c>
      <c r="P5" s="71" t="n">
        <v>1</v>
      </c>
      <c r="Q5" s="71" t="inlineStr">
        <is>
          <t>X</t>
        </is>
      </c>
      <c r="R5" s="71" t="n">
        <v>1</v>
      </c>
      <c r="S5" s="71" t="n">
        <v>1</v>
      </c>
    </row>
    <row r="6">
      <c r="A6" s="69">
        <f>Partite!$A6</f>
        <v/>
      </c>
      <c r="B6" s="25">
        <f>Partite!$B6</f>
        <v/>
      </c>
      <c r="C6" s="70">
        <f>IF(Partite!$E6="","",Partite!$E6)</f>
        <v/>
      </c>
      <c r="D6" s="70">
        <f>IF(Partite!$F6="","",Partite!$F6)</f>
        <v/>
      </c>
      <c r="E6" s="71" t="inlineStr">
        <is>
          <t>X</t>
        </is>
      </c>
      <c r="F6" s="71" t="n">
        <v>1</v>
      </c>
      <c r="G6" s="71" t="n">
        <v>1</v>
      </c>
      <c r="H6" s="71" t="inlineStr">
        <is>
          <t>2</t>
        </is>
      </c>
      <c r="I6" s="71" t="n">
        <v>1</v>
      </c>
      <c r="J6" s="71" t="n">
        <v>2</v>
      </c>
      <c r="K6" s="71" t="inlineStr">
        <is>
          <t>X</t>
        </is>
      </c>
      <c r="L6" s="71" t="n">
        <v>1</v>
      </c>
      <c r="M6" s="71" t="n">
        <v>1</v>
      </c>
      <c r="N6" s="71" t="inlineStr">
        <is>
          <t>X</t>
        </is>
      </c>
      <c r="O6" s="71" t="n">
        <v>1</v>
      </c>
      <c r="P6" s="71" t="n">
        <v>1</v>
      </c>
      <c r="Q6" s="71" t="inlineStr">
        <is>
          <t>1</t>
        </is>
      </c>
      <c r="R6" s="71" t="n">
        <v>2</v>
      </c>
      <c r="S6" s="71" t="n">
        <v>1</v>
      </c>
    </row>
    <row r="7">
      <c r="A7" s="69">
        <f>Partite!$A7</f>
        <v/>
      </c>
      <c r="B7" s="25">
        <f>Partite!$B7</f>
        <v/>
      </c>
      <c r="C7" s="70">
        <f>IF(Partite!$E7="","",Partite!$E7)</f>
        <v/>
      </c>
      <c r="D7" s="70">
        <f>IF(Partite!$F7="","",Partite!$F7)</f>
        <v/>
      </c>
      <c r="E7" s="71" t="inlineStr">
        <is>
          <t>1</t>
        </is>
      </c>
      <c r="F7" s="71" t="n">
        <v>1</v>
      </c>
      <c r="G7" s="71" t="n">
        <v>0</v>
      </c>
      <c r="H7" s="71" t="inlineStr">
        <is>
          <t>1</t>
        </is>
      </c>
      <c r="I7" s="71" t="n">
        <v>2</v>
      </c>
      <c r="J7" s="71" t="n">
        <v>0</v>
      </c>
      <c r="K7" s="71" t="inlineStr">
        <is>
          <t>1</t>
        </is>
      </c>
      <c r="L7" s="71" t="n">
        <v>2</v>
      </c>
      <c r="M7" s="71" t="n">
        <v>0</v>
      </c>
      <c r="N7" s="71" t="inlineStr">
        <is>
          <t>1</t>
        </is>
      </c>
      <c r="O7" s="71" t="n">
        <v>2</v>
      </c>
      <c r="P7" s="71" t="n">
        <v>0</v>
      </c>
      <c r="Q7" s="71" t="inlineStr">
        <is>
          <t>1</t>
        </is>
      </c>
      <c r="R7" s="71" t="n">
        <v>2</v>
      </c>
      <c r="S7" s="71" t="n">
        <v>0</v>
      </c>
    </row>
    <row r="8">
      <c r="A8" s="69">
        <f>Partite!$A8</f>
        <v/>
      </c>
      <c r="B8" s="25">
        <f>Partite!$B8</f>
        <v/>
      </c>
      <c r="C8" s="70">
        <f>IF(Partite!$E8="","",Partite!$E8)</f>
        <v/>
      </c>
      <c r="D8" s="70">
        <f>IF(Partite!$F8="","",Partite!$F8)</f>
        <v/>
      </c>
      <c r="E8" s="71" t="inlineStr">
        <is>
          <t>2</t>
        </is>
      </c>
      <c r="F8" s="71" t="n">
        <v>1</v>
      </c>
      <c r="G8" s="71" t="n">
        <v>2</v>
      </c>
      <c r="H8" s="71" t="inlineStr">
        <is>
          <t>X</t>
        </is>
      </c>
      <c r="I8" s="71" t="n">
        <v>1</v>
      </c>
      <c r="J8" s="71" t="n">
        <v>1</v>
      </c>
      <c r="K8" s="71" t="inlineStr">
        <is>
          <t>X</t>
        </is>
      </c>
      <c r="L8" s="71" t="n">
        <v>1</v>
      </c>
      <c r="M8" s="71" t="n">
        <v>1</v>
      </c>
      <c r="N8" s="71" t="inlineStr">
        <is>
          <t>X</t>
        </is>
      </c>
      <c r="O8" s="71" t="n">
        <v>1</v>
      </c>
      <c r="P8" s="71" t="n">
        <v>1</v>
      </c>
      <c r="Q8" s="71" t="inlineStr">
        <is>
          <t>1</t>
        </is>
      </c>
      <c r="R8" s="71" t="n">
        <v>2</v>
      </c>
      <c r="S8" s="71" t="n">
        <v>1</v>
      </c>
    </row>
    <row r="9">
      <c r="A9" s="69">
        <f>Partite!$A9</f>
        <v/>
      </c>
      <c r="B9" s="25">
        <f>Partite!$B9</f>
        <v/>
      </c>
      <c r="C9" s="70">
        <f>IF(Partite!$E9="","",Partite!$E9)</f>
        <v/>
      </c>
      <c r="D9" s="70">
        <f>IF(Partite!$F9="","",Partite!$F9)</f>
        <v/>
      </c>
      <c r="E9" s="71" t="inlineStr">
        <is>
          <t>2</t>
        </is>
      </c>
      <c r="F9" s="71" t="n">
        <v>0</v>
      </c>
      <c r="G9" s="71" t="n">
        <v>2</v>
      </c>
      <c r="H9" s="71" t="inlineStr">
        <is>
          <t>2</t>
        </is>
      </c>
      <c r="I9" s="71" t="n">
        <v>0</v>
      </c>
      <c r="J9" s="71" t="n">
        <v>3</v>
      </c>
      <c r="K9" s="71" t="inlineStr">
        <is>
          <t>2</t>
        </is>
      </c>
      <c r="L9" s="71" t="n">
        <v>0</v>
      </c>
      <c r="M9" s="71" t="n">
        <v>4</v>
      </c>
      <c r="N9" s="71" t="inlineStr">
        <is>
          <t>2</t>
        </is>
      </c>
      <c r="O9" s="71" t="n">
        <v>0</v>
      </c>
      <c r="P9" s="71" t="n">
        <v>3</v>
      </c>
      <c r="Q9" s="71" t="inlineStr">
        <is>
          <t>2</t>
        </is>
      </c>
      <c r="R9" s="71" t="n">
        <v>0</v>
      </c>
      <c r="S9" s="71" t="n">
        <v>3</v>
      </c>
    </row>
    <row r="10">
      <c r="A10" s="69">
        <f>Partite!$A10</f>
        <v/>
      </c>
      <c r="B10" s="25">
        <f>Partite!$B10</f>
        <v/>
      </c>
      <c r="C10" s="70">
        <f>IF(Partite!$E10="","",Partite!$E10)</f>
        <v/>
      </c>
      <c r="D10" s="70">
        <f>IF(Partite!$F10="","",Partite!$F10)</f>
        <v/>
      </c>
      <c r="E10" s="71" t="inlineStr">
        <is>
          <t>X</t>
        </is>
      </c>
      <c r="F10" s="71" t="n">
        <v>2</v>
      </c>
      <c r="G10" s="71" t="n">
        <v>2</v>
      </c>
      <c r="H10" s="71" t="inlineStr">
        <is>
          <t>X</t>
        </is>
      </c>
      <c r="I10" s="71" t="n">
        <v>1</v>
      </c>
      <c r="J10" s="71" t="n">
        <v>1</v>
      </c>
      <c r="K10" s="71" t="inlineStr">
        <is>
          <t>1</t>
        </is>
      </c>
      <c r="L10" s="71" t="n">
        <v>2</v>
      </c>
      <c r="M10" s="71" t="n">
        <v>1</v>
      </c>
      <c r="N10" s="71" t="inlineStr">
        <is>
          <t>X</t>
        </is>
      </c>
      <c r="O10" s="71" t="n">
        <v>2</v>
      </c>
      <c r="P10" s="71" t="n">
        <v>2</v>
      </c>
      <c r="Q10" s="71" t="inlineStr">
        <is>
          <t>1</t>
        </is>
      </c>
      <c r="R10" s="71" t="n">
        <v>1</v>
      </c>
      <c r="S10" s="71" t="n">
        <v>0</v>
      </c>
    </row>
    <row r="11">
      <c r="A11" s="69">
        <f>Partite!$A11</f>
        <v/>
      </c>
      <c r="B11" s="25">
        <f>Partite!$B11</f>
        <v/>
      </c>
      <c r="C11" s="70">
        <f>IF(Partite!$E11="","",Partite!$E11)</f>
        <v/>
      </c>
      <c r="D11" s="70">
        <f>IF(Partite!$F11="","",Partite!$F11)</f>
        <v/>
      </c>
      <c r="E11" s="71" t="inlineStr">
        <is>
          <t>2</t>
        </is>
      </c>
      <c r="F11" s="71" t="n">
        <v>0</v>
      </c>
      <c r="G11" s="71" t="n">
        <v>3</v>
      </c>
      <c r="H11" s="71" t="inlineStr">
        <is>
          <t>2</t>
        </is>
      </c>
      <c r="I11" s="71" t="n">
        <v>0</v>
      </c>
      <c r="J11" s="71" t="n">
        <v>3</v>
      </c>
      <c r="K11" s="71" t="inlineStr">
        <is>
          <t>X</t>
        </is>
      </c>
      <c r="L11" s="71" t="n">
        <v>2</v>
      </c>
      <c r="M11" s="71" t="n">
        <v>2</v>
      </c>
      <c r="N11" s="71" t="inlineStr">
        <is>
          <t>2</t>
        </is>
      </c>
      <c r="O11" s="71" t="n">
        <v>1</v>
      </c>
      <c r="P11" s="71" t="n">
        <v>4</v>
      </c>
      <c r="Q11" s="71" t="inlineStr">
        <is>
          <t>2</t>
        </is>
      </c>
      <c r="R11" s="71" t="n">
        <v>0</v>
      </c>
      <c r="S11" s="71" t="n">
        <v>2</v>
      </c>
    </row>
    <row r="12">
      <c r="A12" s="69">
        <f>Partite!$A12</f>
        <v/>
      </c>
      <c r="B12" s="25">
        <f>Partite!$B12</f>
        <v/>
      </c>
      <c r="C12" s="70">
        <f>IF(Partite!$E12="","",Partite!$E12)</f>
        <v/>
      </c>
      <c r="D12" s="70">
        <f>IF(Partite!$F12="","",Partite!$F12)</f>
        <v/>
      </c>
      <c r="E12" s="71" t="inlineStr">
        <is>
          <t>1</t>
        </is>
      </c>
      <c r="F12" s="71" t="n">
        <v>2</v>
      </c>
      <c r="G12" s="71" t="n">
        <v>1</v>
      </c>
      <c r="H12" s="71" t="inlineStr">
        <is>
          <t>1</t>
        </is>
      </c>
      <c r="I12" s="71" t="n">
        <v>2</v>
      </c>
      <c r="J12" s="71" t="n">
        <v>1</v>
      </c>
      <c r="K12" s="71" t="inlineStr">
        <is>
          <t>1</t>
        </is>
      </c>
      <c r="L12" s="71" t="n">
        <v>3</v>
      </c>
      <c r="M12" s="71" t="n">
        <v>0</v>
      </c>
      <c r="N12" s="71" t="inlineStr">
        <is>
          <t>1</t>
        </is>
      </c>
      <c r="O12" s="71" t="n">
        <v>2</v>
      </c>
      <c r="P12" s="71" t="n">
        <v>1</v>
      </c>
      <c r="Q12" s="71" t="inlineStr">
        <is>
          <t>1</t>
        </is>
      </c>
      <c r="R12" s="71" t="n">
        <v>2</v>
      </c>
      <c r="S12" s="71" t="n">
        <v>1</v>
      </c>
    </row>
    <row r="13">
      <c r="A13" s="74">
        <f>Partite!$A13</f>
        <v/>
      </c>
      <c r="B13" s="30">
        <f>Partite!$B13</f>
        <v/>
      </c>
      <c r="C13" s="75">
        <f>IF(Partite!$E13="","",Partite!$E13)</f>
        <v/>
      </c>
      <c r="D13" s="75">
        <f>IF(Partite!$F13="","",Partite!$F13)</f>
        <v/>
      </c>
      <c r="E13" s="71" t="inlineStr">
        <is>
          <t>2</t>
        </is>
      </c>
      <c r="F13" s="71" t="n">
        <v>0</v>
      </c>
      <c r="G13" s="71" t="n">
        <v>2</v>
      </c>
      <c r="H13" s="71" t="inlineStr">
        <is>
          <t>2</t>
        </is>
      </c>
      <c r="I13" s="71" t="n">
        <v>1</v>
      </c>
      <c r="J13" s="71" t="n">
        <v>2</v>
      </c>
      <c r="K13" s="71" t="inlineStr">
        <is>
          <t>2</t>
        </is>
      </c>
      <c r="L13" s="71" t="n">
        <v>0</v>
      </c>
      <c r="M13" s="71" t="n">
        <v>2</v>
      </c>
      <c r="N13" s="71" t="inlineStr">
        <is>
          <t>2</t>
        </is>
      </c>
      <c r="O13" s="71" t="n">
        <v>0</v>
      </c>
      <c r="P13" s="71" t="n">
        <v>3</v>
      </c>
      <c r="Q13" s="71" t="inlineStr">
        <is>
          <t>2</t>
        </is>
      </c>
      <c r="R13" s="71" t="n">
        <v>1</v>
      </c>
      <c r="S13" s="71" t="n">
        <v>2</v>
      </c>
    </row>
    <row r="14">
      <c r="A14" s="74">
        <f>Partite!$A14</f>
        <v/>
      </c>
      <c r="B14" s="30">
        <f>Partite!$B14</f>
        <v/>
      </c>
      <c r="C14" s="75">
        <f>IF(Partite!$E14="","",Partite!$E14)</f>
        <v/>
      </c>
      <c r="D14" s="75">
        <f>IF(Partite!$F14="","",Partite!$F14)</f>
        <v/>
      </c>
      <c r="E14" s="71" t="inlineStr">
        <is>
          <t>1</t>
        </is>
      </c>
      <c r="F14" s="71" t="n">
        <v>1</v>
      </c>
      <c r="G14" s="71" t="n">
        <v>0</v>
      </c>
      <c r="H14" s="71" t="inlineStr">
        <is>
          <t>1</t>
        </is>
      </c>
      <c r="I14" s="71" t="n">
        <v>2</v>
      </c>
      <c r="J14" s="71" t="n">
        <v>1</v>
      </c>
      <c r="K14" s="71" t="inlineStr">
        <is>
          <t>X</t>
        </is>
      </c>
      <c r="L14" s="71" t="n">
        <v>1</v>
      </c>
      <c r="M14" s="71" t="n">
        <v>1</v>
      </c>
      <c r="N14" s="71" t="inlineStr">
        <is>
          <t>1</t>
        </is>
      </c>
      <c r="O14" s="71" t="n">
        <v>2</v>
      </c>
      <c r="P14" s="71" t="n">
        <v>1</v>
      </c>
      <c r="Q14" s="71" t="inlineStr">
        <is>
          <t>1</t>
        </is>
      </c>
      <c r="R14" s="71" t="n">
        <v>2</v>
      </c>
      <c r="S14" s="71" t="n">
        <v>1</v>
      </c>
    </row>
    <row r="15">
      <c r="A15" s="74">
        <f>Partite!$A15</f>
        <v/>
      </c>
      <c r="B15" s="30">
        <f>Partite!$B15</f>
        <v/>
      </c>
      <c r="C15" s="75">
        <f>IF(Partite!$E15="","",Partite!$E15)</f>
        <v/>
      </c>
      <c r="D15" s="75">
        <f>IF(Partite!$F15="","",Partite!$F15)</f>
        <v/>
      </c>
      <c r="E15" s="71" t="inlineStr">
        <is>
          <t>1</t>
        </is>
      </c>
      <c r="F15" s="71" t="n">
        <v>4</v>
      </c>
      <c r="G15" s="71" t="n">
        <v>1</v>
      </c>
      <c r="H15" s="71" t="inlineStr">
        <is>
          <t>1</t>
        </is>
      </c>
      <c r="I15" s="71" t="n">
        <v>2</v>
      </c>
      <c r="J15" s="71" t="n">
        <v>0</v>
      </c>
      <c r="K15" s="71" t="inlineStr">
        <is>
          <t>2</t>
        </is>
      </c>
      <c r="L15" s="71" t="n">
        <v>0</v>
      </c>
      <c r="M15" s="71" t="n">
        <v>1</v>
      </c>
      <c r="N15" s="71" t="inlineStr">
        <is>
          <t>1</t>
        </is>
      </c>
      <c r="O15" s="71" t="n">
        <v>1</v>
      </c>
      <c r="P15" s="71" t="n">
        <v>0</v>
      </c>
      <c r="Q15" s="71" t="inlineStr">
        <is>
          <t>1</t>
        </is>
      </c>
      <c r="R15" s="71" t="n">
        <v>2</v>
      </c>
      <c r="S15" s="71" t="n">
        <v>0</v>
      </c>
    </row>
    <row r="16">
      <c r="A16" s="74">
        <f>Partite!$A16</f>
        <v/>
      </c>
      <c r="B16" s="30">
        <f>Partite!$B16</f>
        <v/>
      </c>
      <c r="C16" s="75">
        <f>IF(Partite!$E16="","",Partite!$E16)</f>
        <v/>
      </c>
      <c r="D16" s="75">
        <f>IF(Partite!$F16="","",Partite!$F16)</f>
        <v/>
      </c>
      <c r="E16" s="71" t="inlineStr">
        <is>
          <t>1</t>
        </is>
      </c>
      <c r="F16" s="71" t="n">
        <v>2</v>
      </c>
      <c r="G16" s="71" t="n">
        <v>1</v>
      </c>
      <c r="H16" s="71" t="inlineStr">
        <is>
          <t>1</t>
        </is>
      </c>
      <c r="I16" s="71" t="n">
        <v>2</v>
      </c>
      <c r="J16" s="71" t="n">
        <v>0</v>
      </c>
      <c r="K16" s="71" t="inlineStr">
        <is>
          <t>1</t>
        </is>
      </c>
      <c r="L16" s="71" t="n">
        <v>2</v>
      </c>
      <c r="M16" s="71" t="n">
        <v>1</v>
      </c>
      <c r="N16" s="71" t="inlineStr">
        <is>
          <t>1</t>
        </is>
      </c>
      <c r="O16" s="71" t="n">
        <v>3</v>
      </c>
      <c r="P16" s="71" t="n">
        <v>1</v>
      </c>
      <c r="Q16" s="71" t="inlineStr">
        <is>
          <t>1</t>
        </is>
      </c>
      <c r="R16" s="71" t="n">
        <v>2</v>
      </c>
      <c r="S16" s="71" t="n">
        <v>0</v>
      </c>
    </row>
    <row r="17">
      <c r="A17" s="74">
        <f>Partite!$A17</f>
        <v/>
      </c>
      <c r="B17" s="30">
        <f>Partite!$B17</f>
        <v/>
      </c>
      <c r="C17" s="75">
        <f>IF(Partite!$E17="","",Partite!$E17)</f>
        <v/>
      </c>
      <c r="D17" s="75">
        <f>IF(Partite!$F17="","",Partite!$F17)</f>
        <v/>
      </c>
      <c r="E17" s="71" t="inlineStr">
        <is>
          <t>2</t>
        </is>
      </c>
      <c r="F17" s="71" t="n">
        <v>1</v>
      </c>
      <c r="G17" s="71" t="n">
        <v>2</v>
      </c>
      <c r="H17" s="71" t="inlineStr">
        <is>
          <t>1</t>
        </is>
      </c>
      <c r="I17" s="71" t="n">
        <v>2</v>
      </c>
      <c r="J17" s="71" t="n">
        <v>1</v>
      </c>
      <c r="K17" s="71" t="inlineStr">
        <is>
          <t>X</t>
        </is>
      </c>
      <c r="L17" s="71" t="n">
        <v>2</v>
      </c>
      <c r="M17" s="71" t="n">
        <v>2</v>
      </c>
      <c r="N17" s="71" t="inlineStr">
        <is>
          <t>X</t>
        </is>
      </c>
      <c r="O17" s="71" t="n">
        <v>2</v>
      </c>
      <c r="P17" s="71" t="n">
        <v>2</v>
      </c>
      <c r="Q17" s="71" t="inlineStr">
        <is>
          <t>1</t>
        </is>
      </c>
      <c r="R17" s="71" t="n">
        <v>1</v>
      </c>
      <c r="S17" s="71" t="n">
        <v>0</v>
      </c>
    </row>
    <row r="18">
      <c r="A18" s="74">
        <f>Partite!$A18</f>
        <v/>
      </c>
      <c r="B18" s="30">
        <f>Partite!$B18</f>
        <v/>
      </c>
      <c r="C18" s="75">
        <f>IF(Partite!$E18="","",Partite!$E18)</f>
        <v/>
      </c>
      <c r="D18" s="75">
        <f>IF(Partite!$F18="","",Partite!$F18)</f>
        <v/>
      </c>
      <c r="E18" s="71" t="inlineStr">
        <is>
          <t>X</t>
        </is>
      </c>
      <c r="F18" s="71" t="n">
        <v>1</v>
      </c>
      <c r="G18" s="71" t="n">
        <v>1</v>
      </c>
      <c r="H18" s="71" t="inlineStr">
        <is>
          <t>X</t>
        </is>
      </c>
      <c r="I18" s="71" t="n">
        <v>1</v>
      </c>
      <c r="J18" s="71" t="n">
        <v>1</v>
      </c>
      <c r="K18" s="71" t="inlineStr">
        <is>
          <t>1</t>
        </is>
      </c>
      <c r="L18" s="71" t="n">
        <v>2</v>
      </c>
      <c r="M18" s="71" t="n">
        <v>0</v>
      </c>
      <c r="N18" s="71" t="inlineStr">
        <is>
          <t>X</t>
        </is>
      </c>
      <c r="O18" s="71" t="n">
        <v>1</v>
      </c>
      <c r="P18" s="71" t="n">
        <v>1</v>
      </c>
      <c r="Q18" s="71" t="inlineStr">
        <is>
          <t>X</t>
        </is>
      </c>
      <c r="R18" s="71" t="n">
        <v>1</v>
      </c>
      <c r="S18" s="71" t="n">
        <v>1</v>
      </c>
    </row>
    <row r="19">
      <c r="A19" s="74">
        <f>Partite!$A19</f>
        <v/>
      </c>
      <c r="B19" s="30">
        <f>Partite!$B19</f>
        <v/>
      </c>
      <c r="C19" s="75">
        <f>IF(Partite!$E19="","",Partite!$E19)</f>
        <v/>
      </c>
      <c r="D19" s="75">
        <f>IF(Partite!$F19="","",Partite!$F19)</f>
        <v/>
      </c>
      <c r="E19" s="71" t="inlineStr">
        <is>
          <t>X</t>
        </is>
      </c>
      <c r="F19" s="71" t="n">
        <v>1</v>
      </c>
      <c r="G19" s="71" t="n">
        <v>1</v>
      </c>
      <c r="H19" s="71" t="inlineStr">
        <is>
          <t>1</t>
        </is>
      </c>
      <c r="I19" s="71" t="n">
        <v>1</v>
      </c>
      <c r="J19" s="71" t="n">
        <v>0</v>
      </c>
      <c r="K19" s="71" t="inlineStr">
        <is>
          <t>X</t>
        </is>
      </c>
      <c r="L19" s="71" t="n">
        <v>1</v>
      </c>
      <c r="M19" s="71" t="n">
        <v>1</v>
      </c>
      <c r="N19" s="71" t="inlineStr">
        <is>
          <t>X</t>
        </is>
      </c>
      <c r="O19" s="71" t="n">
        <v>1</v>
      </c>
      <c r="P19" s="71" t="n">
        <v>1</v>
      </c>
      <c r="Q19" s="71" t="inlineStr">
        <is>
          <t>1</t>
        </is>
      </c>
      <c r="R19" s="71" t="n">
        <v>2</v>
      </c>
      <c r="S19" s="71" t="n">
        <v>1</v>
      </c>
    </row>
    <row r="20">
      <c r="A20" s="74">
        <f>Partite!$A20</f>
        <v/>
      </c>
      <c r="B20" s="30">
        <f>Partite!$B20</f>
        <v/>
      </c>
      <c r="C20" s="75">
        <f>IF(Partite!$E20="","",Partite!$E20)</f>
        <v/>
      </c>
      <c r="D20" s="75">
        <f>IF(Partite!$F20="","",Partite!$F20)</f>
        <v/>
      </c>
      <c r="E20" s="71" t="inlineStr">
        <is>
          <t>X</t>
        </is>
      </c>
      <c r="F20" s="71" t="n">
        <v>0</v>
      </c>
      <c r="G20" s="71" t="n">
        <v>0</v>
      </c>
      <c r="H20" s="71" t="inlineStr">
        <is>
          <t>1</t>
        </is>
      </c>
      <c r="I20" s="71" t="n">
        <v>1</v>
      </c>
      <c r="J20" s="71" t="n">
        <v>0</v>
      </c>
      <c r="K20" s="71" t="inlineStr">
        <is>
          <t>1</t>
        </is>
      </c>
      <c r="L20" s="71" t="n">
        <v>3</v>
      </c>
      <c r="M20" s="71" t="n">
        <v>0</v>
      </c>
      <c r="N20" s="71" t="inlineStr">
        <is>
          <t>2</t>
        </is>
      </c>
      <c r="O20" s="71" t="n">
        <v>1</v>
      </c>
      <c r="P20" s="71" t="n">
        <v>2</v>
      </c>
      <c r="Q20" s="71" t="inlineStr">
        <is>
          <t>1</t>
        </is>
      </c>
      <c r="R20" s="71" t="n">
        <v>2</v>
      </c>
      <c r="S20" s="71" t="n">
        <v>0</v>
      </c>
    </row>
    <row r="21">
      <c r="A21" s="74">
        <f>Partite!$A21</f>
        <v/>
      </c>
      <c r="B21" s="30">
        <f>Partite!$B21</f>
        <v/>
      </c>
      <c r="C21" s="75">
        <f>IF(Partite!$E21="","",Partite!$E21)</f>
        <v/>
      </c>
      <c r="D21" s="75">
        <f>IF(Partite!$F21="","",Partite!$F21)</f>
        <v/>
      </c>
      <c r="E21" s="71" t="inlineStr">
        <is>
          <t>1</t>
        </is>
      </c>
      <c r="F21" s="71" t="n">
        <v>2</v>
      </c>
      <c r="G21" s="71" t="n">
        <v>0</v>
      </c>
      <c r="H21" s="71" t="inlineStr">
        <is>
          <t>X</t>
        </is>
      </c>
      <c r="I21" s="71" t="n">
        <v>1</v>
      </c>
      <c r="J21" s="71" t="n">
        <v>1</v>
      </c>
      <c r="K21" s="71" t="inlineStr">
        <is>
          <t>X</t>
        </is>
      </c>
      <c r="L21" s="71" t="n">
        <v>0</v>
      </c>
      <c r="M21" s="71" t="n">
        <v>0</v>
      </c>
      <c r="N21" s="71" t="inlineStr">
        <is>
          <t>1</t>
        </is>
      </c>
      <c r="O21" s="71" t="n">
        <v>1</v>
      </c>
      <c r="P21" s="71" t="n">
        <v>0</v>
      </c>
      <c r="Q21" s="71" t="inlineStr">
        <is>
          <t>1</t>
        </is>
      </c>
      <c r="R21" s="71" t="n">
        <v>1</v>
      </c>
      <c r="S21" s="71" t="n">
        <v>0</v>
      </c>
    </row>
    <row r="22">
      <c r="A22" s="74">
        <f>Partite!$A22</f>
        <v/>
      </c>
      <c r="B22" s="30">
        <f>Partite!$B22</f>
        <v/>
      </c>
      <c r="C22" s="75">
        <f>IF(Partite!$E22="","",Partite!$E22)</f>
        <v/>
      </c>
      <c r="D22" s="75">
        <f>IF(Partite!$F22="","",Partite!$F22)</f>
        <v/>
      </c>
      <c r="E22" s="71" t="inlineStr">
        <is>
          <t>X</t>
        </is>
      </c>
      <c r="F22" s="71" t="n">
        <v>3</v>
      </c>
      <c r="G22" s="71" t="n">
        <v>3</v>
      </c>
      <c r="H22" s="71" t="inlineStr">
        <is>
          <t>X</t>
        </is>
      </c>
      <c r="I22" s="71" t="n">
        <v>2</v>
      </c>
      <c r="J22" s="71" t="n">
        <v>2</v>
      </c>
      <c r="K22" s="71" t="inlineStr">
        <is>
          <t>1</t>
        </is>
      </c>
      <c r="L22" s="71" t="n">
        <v>2</v>
      </c>
      <c r="M22" s="71" t="n">
        <v>1</v>
      </c>
      <c r="N22" s="71" t="inlineStr">
        <is>
          <t>1</t>
        </is>
      </c>
      <c r="O22" s="71" t="n">
        <v>1</v>
      </c>
      <c r="P22" s="71" t="n">
        <v>0</v>
      </c>
      <c r="Q22" s="71" t="inlineStr">
        <is>
          <t>X</t>
        </is>
      </c>
      <c r="R22" s="71" t="n">
        <v>1</v>
      </c>
      <c r="S22" s="71" t="n">
        <v>1</v>
      </c>
    </row>
    <row r="23">
      <c r="A23" s="69">
        <f>Partite!$A23</f>
        <v/>
      </c>
      <c r="B23" s="25">
        <f>Partite!$B23</f>
        <v/>
      </c>
      <c r="C23" s="70">
        <f>IF(Partite!$E23="","",Partite!$E23)</f>
        <v/>
      </c>
      <c r="D23" s="70">
        <f>IF(Partite!$F23="","",Partite!$F23)</f>
        <v/>
      </c>
      <c r="E23" s="71" t="inlineStr">
        <is>
          <t>X</t>
        </is>
      </c>
      <c r="F23" s="71" t="n">
        <v>1</v>
      </c>
      <c r="G23" s="71" t="n">
        <v>1</v>
      </c>
      <c r="H23" s="71" t="inlineStr">
        <is>
          <t>2</t>
        </is>
      </c>
      <c r="I23" s="71" t="n">
        <v>1</v>
      </c>
      <c r="J23" s="71" t="n">
        <v>2</v>
      </c>
      <c r="K23" s="71" t="inlineStr">
        <is>
          <t>2</t>
        </is>
      </c>
      <c r="L23" s="71" t="n">
        <v>0</v>
      </c>
      <c r="M23" s="71" t="n">
        <v>2</v>
      </c>
      <c r="N23" s="71" t="inlineStr">
        <is>
          <t>2</t>
        </is>
      </c>
      <c r="O23" s="71" t="n">
        <v>1</v>
      </c>
      <c r="P23" s="71" t="n">
        <v>2</v>
      </c>
      <c r="Q23" s="71" t="inlineStr">
        <is>
          <t>2</t>
        </is>
      </c>
      <c r="R23" s="71" t="n">
        <v>0</v>
      </c>
      <c r="S23" s="71" t="n">
        <v>1</v>
      </c>
    </row>
    <row r="24">
      <c r="A24" s="69">
        <f>Partite!$A24</f>
        <v/>
      </c>
      <c r="B24" s="25">
        <f>Partite!$B24</f>
        <v/>
      </c>
      <c r="C24" s="70">
        <f>IF(Partite!$E24="","",Partite!$E24)</f>
        <v/>
      </c>
      <c r="D24" s="70">
        <f>IF(Partite!$F24="","",Partite!$F24)</f>
        <v/>
      </c>
      <c r="E24" s="71" t="inlineStr">
        <is>
          <t>1</t>
        </is>
      </c>
      <c r="F24" s="71" t="n">
        <v>2</v>
      </c>
      <c r="G24" s="71" t="n">
        <v>1</v>
      </c>
      <c r="H24" s="71" t="inlineStr">
        <is>
          <t>1</t>
        </is>
      </c>
      <c r="I24" s="71" t="n">
        <v>2</v>
      </c>
      <c r="J24" s="71" t="n">
        <v>1</v>
      </c>
      <c r="K24" s="71" t="inlineStr">
        <is>
          <t>1</t>
        </is>
      </c>
      <c r="L24" s="71" t="n">
        <v>2</v>
      </c>
      <c r="M24" s="71" t="n">
        <v>1</v>
      </c>
      <c r="N24" s="71" t="inlineStr">
        <is>
          <t>X</t>
        </is>
      </c>
      <c r="O24" s="71" t="n">
        <v>1</v>
      </c>
      <c r="P24" s="71" t="n">
        <v>1</v>
      </c>
      <c r="Q24" s="71" t="inlineStr">
        <is>
          <t>1</t>
        </is>
      </c>
      <c r="R24" s="71" t="n">
        <v>1</v>
      </c>
      <c r="S24" s="71" t="n">
        <v>0</v>
      </c>
    </row>
    <row r="25">
      <c r="A25" s="69">
        <f>Partite!$A25</f>
        <v/>
      </c>
      <c r="B25" s="25">
        <f>Partite!$B25</f>
        <v/>
      </c>
      <c r="C25" s="70">
        <f>IF(Partite!$E25="","",Partite!$E25)</f>
        <v/>
      </c>
      <c r="D25" s="70">
        <f>IF(Partite!$F25="","",Partite!$F25)</f>
        <v/>
      </c>
      <c r="E25" s="71" t="inlineStr">
        <is>
          <t>2</t>
        </is>
      </c>
      <c r="F25" s="71" t="n">
        <v>0</v>
      </c>
      <c r="G25" s="71" t="n">
        <v>2</v>
      </c>
      <c r="H25" s="71" t="inlineStr">
        <is>
          <t>2</t>
        </is>
      </c>
      <c r="I25" s="71" t="n">
        <v>0</v>
      </c>
      <c r="J25" s="71" t="n">
        <v>2</v>
      </c>
      <c r="K25" s="71" t="inlineStr">
        <is>
          <t>X</t>
        </is>
      </c>
      <c r="L25" s="71" t="n">
        <v>1</v>
      </c>
      <c r="M25" s="71" t="n">
        <v>1</v>
      </c>
      <c r="N25" s="71" t="inlineStr">
        <is>
          <t>2</t>
        </is>
      </c>
      <c r="O25" s="71" t="n">
        <v>0</v>
      </c>
      <c r="P25" s="71" t="n">
        <v>1</v>
      </c>
      <c r="Q25" s="71" t="inlineStr">
        <is>
          <t>X</t>
        </is>
      </c>
      <c r="R25" s="71" t="n">
        <v>1</v>
      </c>
      <c r="S25" s="71" t="n">
        <v>1</v>
      </c>
    </row>
    <row r="26">
      <c r="A26" s="69">
        <f>Partite!$A26</f>
        <v/>
      </c>
      <c r="B26" s="25">
        <f>Partite!$B26</f>
        <v/>
      </c>
      <c r="C26" s="70">
        <f>IF(Partite!$E26="","",Partite!$E26)</f>
        <v/>
      </c>
      <c r="D26" s="70">
        <f>IF(Partite!$F26="","",Partite!$F26)</f>
        <v/>
      </c>
      <c r="E26" s="71" t="inlineStr">
        <is>
          <t>X</t>
        </is>
      </c>
      <c r="F26" s="71" t="n">
        <v>1</v>
      </c>
      <c r="G26" s="71" t="n">
        <v>1</v>
      </c>
      <c r="H26" s="71" t="inlineStr">
        <is>
          <t>2</t>
        </is>
      </c>
      <c r="I26" s="71" t="n">
        <v>0</v>
      </c>
      <c r="J26" s="71" t="n">
        <v>2</v>
      </c>
      <c r="K26" s="71" t="inlineStr">
        <is>
          <t>2</t>
        </is>
      </c>
      <c r="L26" s="71" t="n">
        <v>1</v>
      </c>
      <c r="M26" s="71" t="n">
        <v>2</v>
      </c>
      <c r="N26" s="71" t="inlineStr">
        <is>
          <t>2</t>
        </is>
      </c>
      <c r="O26" s="71" t="n">
        <v>1</v>
      </c>
      <c r="P26" s="71" t="n">
        <v>3</v>
      </c>
      <c r="Q26" s="71" t="inlineStr">
        <is>
          <t>2</t>
        </is>
      </c>
      <c r="R26" s="71" t="n">
        <v>1</v>
      </c>
      <c r="S26" s="71" t="n">
        <v>2</v>
      </c>
    </row>
    <row r="27">
      <c r="A27" s="69">
        <f>Partite!$A27</f>
        <v/>
      </c>
      <c r="B27" s="25">
        <f>Partite!$B27</f>
        <v/>
      </c>
      <c r="C27" s="70">
        <f>IF(Partite!$E27="","",Partite!$E27)</f>
        <v/>
      </c>
      <c r="D27" s="70">
        <f>IF(Partite!$F27="","",Partite!$F27)</f>
        <v/>
      </c>
      <c r="E27" s="71" t="inlineStr">
        <is>
          <t>1</t>
        </is>
      </c>
      <c r="F27" s="71" t="n">
        <v>2</v>
      </c>
      <c r="G27" s="71" t="n">
        <v>0</v>
      </c>
      <c r="H27" s="71" t="inlineStr">
        <is>
          <t>1</t>
        </is>
      </c>
      <c r="I27" s="71" t="n">
        <v>2</v>
      </c>
      <c r="J27" s="71" t="n">
        <v>0</v>
      </c>
      <c r="K27" s="71" t="inlineStr">
        <is>
          <t>1</t>
        </is>
      </c>
      <c r="L27" s="71" t="n">
        <v>2</v>
      </c>
      <c r="M27" s="71" t="n">
        <v>0</v>
      </c>
      <c r="N27" s="71" t="inlineStr">
        <is>
          <t>1</t>
        </is>
      </c>
      <c r="O27" s="71" t="n">
        <v>3</v>
      </c>
      <c r="P27" s="71" t="n">
        <v>0</v>
      </c>
      <c r="Q27" s="71" t="inlineStr">
        <is>
          <t>1</t>
        </is>
      </c>
      <c r="R27" s="71" t="n">
        <v>2</v>
      </c>
      <c r="S27" s="71" t="n">
        <v>0</v>
      </c>
    </row>
    <row r="28">
      <c r="A28" s="69">
        <f>Partite!$A28</f>
        <v/>
      </c>
      <c r="B28" s="25">
        <f>Partite!$B28</f>
        <v/>
      </c>
      <c r="C28" s="70">
        <f>IF(Partite!$E28="","",Partite!$E28)</f>
        <v/>
      </c>
      <c r="D28" s="70">
        <f>IF(Partite!$F28="","",Partite!$F28)</f>
        <v/>
      </c>
      <c r="E28" s="71" t="inlineStr">
        <is>
          <t>2</t>
        </is>
      </c>
      <c r="F28" s="71" t="n">
        <v>1</v>
      </c>
      <c r="G28" s="71" t="n">
        <v>2</v>
      </c>
      <c r="H28" s="71" t="inlineStr">
        <is>
          <t>2</t>
        </is>
      </c>
      <c r="I28" s="71" t="n">
        <v>0</v>
      </c>
      <c r="J28" s="71" t="n">
        <v>2</v>
      </c>
      <c r="K28" s="71" t="inlineStr">
        <is>
          <t>2</t>
        </is>
      </c>
      <c r="L28" s="71" t="n">
        <v>0</v>
      </c>
      <c r="M28" s="71" t="n">
        <v>2</v>
      </c>
      <c r="N28" s="71" t="inlineStr">
        <is>
          <t>2</t>
        </is>
      </c>
      <c r="O28" s="71" t="n">
        <v>1</v>
      </c>
      <c r="P28" s="71" t="n">
        <v>3</v>
      </c>
      <c r="Q28" s="71" t="inlineStr">
        <is>
          <t>2</t>
        </is>
      </c>
      <c r="R28" s="71" t="n">
        <v>0</v>
      </c>
      <c r="S28" s="71" t="n">
        <v>1</v>
      </c>
    </row>
    <row r="29">
      <c r="A29" s="69">
        <f>Partite!$A29</f>
        <v/>
      </c>
      <c r="B29" s="25">
        <f>Partite!$B29</f>
        <v/>
      </c>
      <c r="C29" s="70">
        <f>IF(Partite!$E29="","",Partite!$E29)</f>
        <v/>
      </c>
      <c r="D29" s="70">
        <f>IF(Partite!$F29="","",Partite!$F29)</f>
        <v/>
      </c>
      <c r="E29" s="71" t="inlineStr">
        <is>
          <t>1</t>
        </is>
      </c>
      <c r="F29" s="71" t="n">
        <v>2</v>
      </c>
      <c r="G29" s="71" t="n">
        <v>0</v>
      </c>
      <c r="H29" s="71" t="inlineStr">
        <is>
          <t>1</t>
        </is>
      </c>
      <c r="I29" s="71" t="n">
        <v>3</v>
      </c>
      <c r="J29" s="71" t="n">
        <v>0</v>
      </c>
      <c r="K29" s="71" t="inlineStr">
        <is>
          <t>1</t>
        </is>
      </c>
      <c r="L29" s="71" t="n">
        <v>3</v>
      </c>
      <c r="M29" s="71" t="n">
        <v>1</v>
      </c>
      <c r="N29" s="71" t="inlineStr">
        <is>
          <t>1</t>
        </is>
      </c>
      <c r="O29" s="71" t="n">
        <v>4</v>
      </c>
      <c r="P29" s="71" t="n">
        <v>0</v>
      </c>
      <c r="Q29" s="71" t="inlineStr">
        <is>
          <t>1</t>
        </is>
      </c>
      <c r="R29" s="71" t="n">
        <v>2</v>
      </c>
      <c r="S29" s="71" t="n">
        <v>1</v>
      </c>
    </row>
    <row r="30">
      <c r="A30" s="69">
        <f>Partite!$A30</f>
        <v/>
      </c>
      <c r="B30" s="25">
        <f>Partite!$B30</f>
        <v/>
      </c>
      <c r="C30" s="70">
        <f>IF(Partite!$E30="","",Partite!$E30)</f>
        <v/>
      </c>
      <c r="D30" s="70">
        <f>IF(Partite!$F30="","",Partite!$F30)</f>
        <v/>
      </c>
      <c r="E30" s="71" t="inlineStr">
        <is>
          <t>2</t>
        </is>
      </c>
      <c r="F30" s="71" t="n">
        <v>1</v>
      </c>
      <c r="G30" s="71" t="n">
        <v>2</v>
      </c>
      <c r="H30" s="71" t="inlineStr">
        <is>
          <t>X</t>
        </is>
      </c>
      <c r="I30" s="71" t="n">
        <v>1</v>
      </c>
      <c r="J30" s="71" t="n">
        <v>1</v>
      </c>
      <c r="K30" s="71" t="inlineStr">
        <is>
          <t>X</t>
        </is>
      </c>
      <c r="L30" s="71" t="n">
        <v>1</v>
      </c>
      <c r="M30" s="71" t="n">
        <v>1</v>
      </c>
      <c r="N30" s="71" t="inlineStr">
        <is>
          <t>X</t>
        </is>
      </c>
      <c r="O30" s="71" t="n">
        <v>1</v>
      </c>
      <c r="P30" s="71" t="n">
        <v>1</v>
      </c>
      <c r="Q30" s="71" t="inlineStr">
        <is>
          <t>X</t>
        </is>
      </c>
      <c r="R30" s="71" t="n">
        <v>1</v>
      </c>
      <c r="S30" s="71" t="n">
        <v>1</v>
      </c>
    </row>
    <row r="31">
      <c r="A31" s="69">
        <f>Partite!$A31</f>
        <v/>
      </c>
      <c r="B31" s="25">
        <f>Partite!$B31</f>
        <v/>
      </c>
      <c r="C31" s="70">
        <f>IF(Partite!$E31="","",Partite!$E31)</f>
        <v/>
      </c>
      <c r="D31" s="70">
        <f>IF(Partite!$F31="","",Partite!$F31)</f>
        <v/>
      </c>
      <c r="E31" s="71" t="inlineStr">
        <is>
          <t>1</t>
        </is>
      </c>
      <c r="F31" s="71" t="n">
        <v>2</v>
      </c>
      <c r="G31" s="71" t="n">
        <v>1</v>
      </c>
      <c r="H31" s="71" t="inlineStr">
        <is>
          <t>1</t>
        </is>
      </c>
      <c r="I31" s="71" t="n">
        <v>1</v>
      </c>
      <c r="J31" s="71" t="n">
        <v>0</v>
      </c>
      <c r="K31" s="71" t="inlineStr">
        <is>
          <t>1</t>
        </is>
      </c>
      <c r="L31" s="71" t="n">
        <v>2</v>
      </c>
      <c r="M31" s="71" t="n">
        <v>0</v>
      </c>
      <c r="N31" s="71" t="inlineStr">
        <is>
          <t>1</t>
        </is>
      </c>
      <c r="O31" s="71" t="n">
        <v>1</v>
      </c>
      <c r="P31" s="71" t="n">
        <v>0</v>
      </c>
      <c r="Q31" s="71" t="inlineStr">
        <is>
          <t>1</t>
        </is>
      </c>
      <c r="R31" s="71" t="n">
        <v>1</v>
      </c>
      <c r="S31" s="71" t="n">
        <v>0</v>
      </c>
    </row>
    <row r="32">
      <c r="A32" s="69">
        <f>Partite!$A32</f>
        <v/>
      </c>
      <c r="B32" s="25">
        <f>Partite!$B32</f>
        <v/>
      </c>
      <c r="C32" s="70">
        <f>IF(Partite!$E32="","",Partite!$E32)</f>
        <v/>
      </c>
      <c r="D32" s="70">
        <f>IF(Partite!$F32="","",Partite!$F32)</f>
        <v/>
      </c>
      <c r="E32" s="71" t="inlineStr">
        <is>
          <t>1</t>
        </is>
      </c>
      <c r="F32" s="71" t="n">
        <v>3</v>
      </c>
      <c r="G32" s="71" t="n">
        <v>0</v>
      </c>
      <c r="H32" s="71" t="inlineStr">
        <is>
          <t>1</t>
        </is>
      </c>
      <c r="I32" s="71" t="n">
        <v>3</v>
      </c>
      <c r="J32" s="71" t="n">
        <v>1</v>
      </c>
      <c r="K32" s="71" t="inlineStr">
        <is>
          <t>1</t>
        </is>
      </c>
      <c r="L32" s="71" t="n">
        <v>3</v>
      </c>
      <c r="M32" s="71" t="n">
        <v>0</v>
      </c>
      <c r="N32" s="71" t="inlineStr">
        <is>
          <t>1</t>
        </is>
      </c>
      <c r="O32" s="71" t="n">
        <v>3</v>
      </c>
      <c r="P32" s="71" t="n">
        <v>1</v>
      </c>
      <c r="Q32" s="71" t="inlineStr">
        <is>
          <t>1</t>
        </is>
      </c>
      <c r="R32" s="71" t="n">
        <v>2</v>
      </c>
      <c r="S32" s="71" t="n">
        <v>0</v>
      </c>
    </row>
    <row r="33">
      <c r="A33" s="74">
        <f>Partite!$A33</f>
        <v/>
      </c>
      <c r="B33" s="30">
        <f>Partite!$B33</f>
        <v/>
      </c>
      <c r="C33" s="75">
        <f>IF(Partite!$E33="","",Partite!$E33)</f>
        <v/>
      </c>
      <c r="D33" s="75">
        <f>IF(Partite!$F33="","",Partite!$F33)</f>
        <v/>
      </c>
      <c r="E33" s="71" t="inlineStr">
        <is>
          <t>2</t>
        </is>
      </c>
      <c r="F33" s="71" t="n">
        <v>1</v>
      </c>
      <c r="G33" s="71" t="n">
        <v>3</v>
      </c>
      <c r="H33" s="71" t="inlineStr">
        <is>
          <t>2</t>
        </is>
      </c>
      <c r="I33" s="71" t="n">
        <v>1</v>
      </c>
      <c r="J33" s="71" t="n">
        <v>3</v>
      </c>
      <c r="K33" s="71" t="inlineStr">
        <is>
          <t>1</t>
        </is>
      </c>
      <c r="L33" s="71" t="n">
        <v>2</v>
      </c>
      <c r="M33" s="71" t="n">
        <v>1</v>
      </c>
      <c r="N33" s="71" t="inlineStr">
        <is>
          <t>2</t>
        </is>
      </c>
      <c r="O33" s="71" t="n">
        <v>1</v>
      </c>
      <c r="P33" s="71" t="n">
        <v>3</v>
      </c>
      <c r="Q33" s="71" t="inlineStr">
        <is>
          <t>X</t>
        </is>
      </c>
      <c r="R33" s="71" t="n">
        <v>2</v>
      </c>
      <c r="S33" s="71" t="n">
        <v>2</v>
      </c>
    </row>
    <row r="34">
      <c r="A34" s="74">
        <f>Partite!$A34</f>
        <v/>
      </c>
      <c r="B34" s="30">
        <f>Partite!$B34</f>
        <v/>
      </c>
      <c r="C34" s="75">
        <f>IF(Partite!$E34="","",Partite!$E34)</f>
        <v/>
      </c>
      <c r="D34" s="75">
        <f>IF(Partite!$F34="","",Partite!$F34)</f>
        <v/>
      </c>
      <c r="E34" s="71" t="inlineStr">
        <is>
          <t>1</t>
        </is>
      </c>
      <c r="F34" s="71" t="n">
        <v>2</v>
      </c>
      <c r="G34" s="71" t="n">
        <v>1</v>
      </c>
      <c r="H34" s="71" t="inlineStr">
        <is>
          <t>X</t>
        </is>
      </c>
      <c r="I34" s="71" t="n">
        <v>1</v>
      </c>
      <c r="J34" s="71" t="n">
        <v>1</v>
      </c>
      <c r="K34" s="71" t="inlineStr">
        <is>
          <t>X</t>
        </is>
      </c>
      <c r="L34" s="71" t="n">
        <v>1</v>
      </c>
      <c r="M34" s="71" t="n">
        <v>1</v>
      </c>
      <c r="N34" s="71" t="inlineStr">
        <is>
          <t>1</t>
        </is>
      </c>
      <c r="O34" s="71" t="n">
        <v>2</v>
      </c>
      <c r="P34" s="71" t="n">
        <v>1</v>
      </c>
      <c r="Q34" s="71" t="inlineStr">
        <is>
          <t>1</t>
        </is>
      </c>
      <c r="R34" s="71" t="n">
        <v>2</v>
      </c>
      <c r="S34" s="71" t="n">
        <v>0</v>
      </c>
    </row>
    <row r="35">
      <c r="A35" s="74">
        <f>Partite!$A35</f>
        <v/>
      </c>
      <c r="B35" s="30">
        <f>Partite!$B35</f>
        <v/>
      </c>
      <c r="C35" s="75">
        <f>IF(Partite!$E35="","",Partite!$E35)</f>
        <v/>
      </c>
      <c r="D35" s="75">
        <f>IF(Partite!$F35="","",Partite!$F35)</f>
        <v/>
      </c>
      <c r="E35" s="71" t="inlineStr">
        <is>
          <t>1</t>
        </is>
      </c>
      <c r="F35" s="71" t="n">
        <v>1</v>
      </c>
      <c r="G35" s="71" t="n">
        <v>0</v>
      </c>
      <c r="H35" s="71" t="inlineStr">
        <is>
          <t>1</t>
        </is>
      </c>
      <c r="I35" s="71" t="n">
        <v>2</v>
      </c>
      <c r="J35" s="71" t="n">
        <v>1</v>
      </c>
      <c r="K35" s="71" t="inlineStr">
        <is>
          <t>1</t>
        </is>
      </c>
      <c r="L35" s="71" t="n">
        <v>1</v>
      </c>
      <c r="M35" s="71" t="n">
        <v>0</v>
      </c>
      <c r="N35" s="71" t="inlineStr">
        <is>
          <t>1</t>
        </is>
      </c>
      <c r="O35" s="71" t="n">
        <v>2</v>
      </c>
      <c r="P35" s="71" t="n">
        <v>0</v>
      </c>
      <c r="Q35" s="71" t="inlineStr">
        <is>
          <t>1</t>
        </is>
      </c>
      <c r="R35" s="71" t="n">
        <v>1</v>
      </c>
      <c r="S35" s="71" t="n">
        <v>0</v>
      </c>
    </row>
    <row r="36">
      <c r="A36" s="74">
        <f>Partite!$A36</f>
        <v/>
      </c>
      <c r="B36" s="30">
        <f>Partite!$B36</f>
        <v/>
      </c>
      <c r="C36" s="75">
        <f>IF(Partite!$E36="","",Partite!$E36)</f>
        <v/>
      </c>
      <c r="D36" s="75">
        <f>IF(Partite!$F36="","",Partite!$F36)</f>
        <v/>
      </c>
      <c r="E36" s="71" t="inlineStr">
        <is>
          <t>2</t>
        </is>
      </c>
      <c r="F36" s="71" t="n">
        <v>2</v>
      </c>
      <c r="G36" s="71" t="n">
        <v>4</v>
      </c>
      <c r="H36" s="71" t="inlineStr">
        <is>
          <t>1</t>
        </is>
      </c>
      <c r="I36" s="71" t="n">
        <v>2</v>
      </c>
      <c r="J36" s="71" t="n">
        <v>1</v>
      </c>
      <c r="K36" s="71" t="inlineStr">
        <is>
          <t>2</t>
        </is>
      </c>
      <c r="L36" s="71" t="n">
        <v>1</v>
      </c>
      <c r="M36" s="71" t="n">
        <v>3</v>
      </c>
      <c r="N36" s="71" t="inlineStr">
        <is>
          <t>X</t>
        </is>
      </c>
      <c r="O36" s="71" t="n">
        <v>2</v>
      </c>
      <c r="P36" s="71" t="n">
        <v>2</v>
      </c>
      <c r="Q36" s="71" t="inlineStr">
        <is>
          <t>2</t>
        </is>
      </c>
      <c r="R36" s="71" t="n">
        <v>0</v>
      </c>
      <c r="S36" s="71" t="n">
        <v>1</v>
      </c>
    </row>
    <row r="37">
      <c r="A37" s="74">
        <f>Partite!$A37</f>
        <v/>
      </c>
      <c r="B37" s="30">
        <f>Partite!$B37</f>
        <v/>
      </c>
      <c r="C37" s="75">
        <f>IF(Partite!$E37="","",Partite!$E37)</f>
        <v/>
      </c>
      <c r="D37" s="75">
        <f>IF(Partite!$F37="","",Partite!$F37)</f>
        <v/>
      </c>
      <c r="E37" s="71" t="inlineStr">
        <is>
          <t>2</t>
        </is>
      </c>
      <c r="F37" s="71" t="n">
        <v>1</v>
      </c>
      <c r="G37" s="71" t="n">
        <v>2</v>
      </c>
      <c r="H37" s="71" t="inlineStr">
        <is>
          <t>2</t>
        </is>
      </c>
      <c r="I37" s="71" t="n">
        <v>1</v>
      </c>
      <c r="J37" s="71" t="n">
        <v>3</v>
      </c>
      <c r="K37" s="71" t="inlineStr">
        <is>
          <t>X</t>
        </is>
      </c>
      <c r="L37" s="71" t="n">
        <v>0</v>
      </c>
      <c r="M37" s="71" t="n">
        <v>0</v>
      </c>
      <c r="N37" s="71" t="inlineStr">
        <is>
          <t>2</t>
        </is>
      </c>
      <c r="O37" s="71" t="n">
        <v>0</v>
      </c>
      <c r="P37" s="71" t="n">
        <v>2</v>
      </c>
      <c r="Q37" s="71" t="inlineStr">
        <is>
          <t>2</t>
        </is>
      </c>
      <c r="R37" s="71" t="n">
        <v>1</v>
      </c>
      <c r="S37" s="71" t="n">
        <v>2</v>
      </c>
    </row>
    <row r="38">
      <c r="A38" s="74">
        <f>Partite!$A38</f>
        <v/>
      </c>
      <c r="B38" s="30">
        <f>Partite!$B38</f>
        <v/>
      </c>
      <c r="C38" s="75">
        <f>IF(Partite!$E38="","",Partite!$E38)</f>
        <v/>
      </c>
      <c r="D38" s="75">
        <f>IF(Partite!$F38="","",Partite!$F38)</f>
        <v/>
      </c>
      <c r="E38" s="71" t="inlineStr">
        <is>
          <t>2</t>
        </is>
      </c>
      <c r="F38" s="71" t="n">
        <v>0</v>
      </c>
      <c r="G38" s="71" t="n">
        <v>1</v>
      </c>
      <c r="H38" s="71" t="inlineStr">
        <is>
          <t>X</t>
        </is>
      </c>
      <c r="I38" s="71" t="n">
        <v>1</v>
      </c>
      <c r="J38" s="71" t="n">
        <v>1</v>
      </c>
      <c r="K38" s="71" t="inlineStr">
        <is>
          <t>2</t>
        </is>
      </c>
      <c r="L38" s="71" t="n">
        <v>0</v>
      </c>
      <c r="M38" s="71" t="n">
        <v>1</v>
      </c>
      <c r="N38" s="71" t="inlineStr">
        <is>
          <t>X</t>
        </is>
      </c>
      <c r="O38" s="71" t="n">
        <v>1</v>
      </c>
      <c r="P38" s="71" t="n">
        <v>1</v>
      </c>
      <c r="Q38" s="71" t="inlineStr">
        <is>
          <t>2</t>
        </is>
      </c>
      <c r="R38" s="71" t="n">
        <v>1</v>
      </c>
      <c r="S38" s="71" t="n">
        <v>2</v>
      </c>
    </row>
    <row r="39">
      <c r="A39" s="74">
        <f>Partite!$A39</f>
        <v/>
      </c>
      <c r="B39" s="30">
        <f>Partite!$B39</f>
        <v/>
      </c>
      <c r="C39" s="75">
        <f>IF(Partite!$E39="","",Partite!$E39)</f>
        <v/>
      </c>
      <c r="D39" s="75">
        <f>IF(Partite!$F39="","",Partite!$F39)</f>
        <v/>
      </c>
      <c r="E39" s="71" t="inlineStr">
        <is>
          <t>2</t>
        </is>
      </c>
      <c r="F39" s="71" t="n">
        <v>1</v>
      </c>
      <c r="G39" s="71" t="n">
        <v>3</v>
      </c>
      <c r="H39" s="71" t="inlineStr">
        <is>
          <t>2</t>
        </is>
      </c>
      <c r="I39" s="71" t="n">
        <v>0</v>
      </c>
      <c r="J39" s="71" t="n">
        <v>3</v>
      </c>
      <c r="K39" s="71" t="inlineStr">
        <is>
          <t>2</t>
        </is>
      </c>
      <c r="L39" s="71" t="n">
        <v>0</v>
      </c>
      <c r="M39" s="71" t="n">
        <v>2</v>
      </c>
      <c r="N39" s="71" t="inlineStr">
        <is>
          <t>2</t>
        </is>
      </c>
      <c r="O39" s="71" t="n">
        <v>1</v>
      </c>
      <c r="P39" s="71" t="n">
        <v>3</v>
      </c>
      <c r="Q39" s="71" t="inlineStr">
        <is>
          <t>2</t>
        </is>
      </c>
      <c r="R39" s="71" t="n">
        <v>1</v>
      </c>
      <c r="S39" s="71" t="n">
        <v>3</v>
      </c>
    </row>
    <row r="40">
      <c r="A40" s="74">
        <f>Partite!$A40</f>
        <v/>
      </c>
      <c r="B40" s="30">
        <f>Partite!$B40</f>
        <v/>
      </c>
      <c r="C40" s="75">
        <f>IF(Partite!$E40="","",Partite!$E40)</f>
        <v/>
      </c>
      <c r="D40" s="75">
        <f>IF(Partite!$F40="","",Partite!$F40)</f>
        <v/>
      </c>
      <c r="E40" s="71" t="inlineStr">
        <is>
          <t>1</t>
        </is>
      </c>
      <c r="F40" s="71" t="n">
        <v>1</v>
      </c>
      <c r="G40" s="71" t="n">
        <v>0</v>
      </c>
      <c r="H40" s="71" t="inlineStr">
        <is>
          <t>X</t>
        </is>
      </c>
      <c r="I40" s="71" t="n">
        <v>0</v>
      </c>
      <c r="J40" s="71" t="n">
        <v>0</v>
      </c>
      <c r="K40" s="71" t="inlineStr">
        <is>
          <t>X</t>
        </is>
      </c>
      <c r="L40" s="71" t="n">
        <v>1</v>
      </c>
      <c r="M40" s="71" t="n">
        <v>1</v>
      </c>
      <c r="N40" s="71" t="inlineStr">
        <is>
          <t>X</t>
        </is>
      </c>
      <c r="O40" s="71" t="n">
        <v>1</v>
      </c>
      <c r="P40" s="71" t="n">
        <v>1</v>
      </c>
      <c r="Q40" s="71" t="inlineStr">
        <is>
          <t>X</t>
        </is>
      </c>
      <c r="R40" s="71" t="n">
        <v>1</v>
      </c>
      <c r="S40" s="71" t="n">
        <v>1</v>
      </c>
    </row>
    <row r="41">
      <c r="A41" s="74">
        <f>Partite!$A41</f>
        <v/>
      </c>
      <c r="B41" s="30">
        <f>Partite!$B41</f>
        <v/>
      </c>
      <c r="C41" s="75">
        <f>IF(Partite!$E41="","",Partite!$E41)</f>
        <v/>
      </c>
      <c r="D41" s="75">
        <f>IF(Partite!$F41="","",Partite!$F41)</f>
        <v/>
      </c>
      <c r="E41" s="71" t="inlineStr">
        <is>
          <t>X</t>
        </is>
      </c>
      <c r="F41" s="71" t="n">
        <v>1</v>
      </c>
      <c r="G41" s="71" t="n">
        <v>1</v>
      </c>
      <c r="H41" s="71" t="inlineStr">
        <is>
          <t>1</t>
        </is>
      </c>
      <c r="I41" s="71" t="n">
        <v>2</v>
      </c>
      <c r="J41" s="71" t="n">
        <v>1</v>
      </c>
      <c r="K41" s="71" t="inlineStr">
        <is>
          <t>X</t>
        </is>
      </c>
      <c r="L41" s="71" t="n">
        <v>2</v>
      </c>
      <c r="M41" s="71" t="n">
        <v>2</v>
      </c>
      <c r="N41" s="71" t="inlineStr">
        <is>
          <t>X</t>
        </is>
      </c>
      <c r="O41" s="71" t="n">
        <v>2</v>
      </c>
      <c r="P41" s="71" t="n">
        <v>2</v>
      </c>
      <c r="Q41" s="71" t="inlineStr">
        <is>
          <t>1</t>
        </is>
      </c>
      <c r="R41" s="71" t="n">
        <v>2</v>
      </c>
      <c r="S41" s="71" t="n">
        <v>0</v>
      </c>
    </row>
    <row r="42">
      <c r="A42" s="74">
        <f>Partite!$A42</f>
        <v/>
      </c>
      <c r="B42" s="30">
        <f>Partite!$B42</f>
        <v/>
      </c>
      <c r="C42" s="75">
        <f>IF(Partite!$E42="","",Partite!$E42)</f>
        <v/>
      </c>
      <c r="D42" s="75">
        <f>IF(Partite!$F42="","",Partite!$F42)</f>
        <v/>
      </c>
      <c r="E42" s="71" t="inlineStr">
        <is>
          <t>1</t>
        </is>
      </c>
      <c r="F42" s="71" t="n">
        <v>2</v>
      </c>
      <c r="G42" s="71" t="n">
        <v>0</v>
      </c>
      <c r="H42" s="71" t="inlineStr">
        <is>
          <t>1</t>
        </is>
      </c>
      <c r="I42" s="71" t="n">
        <v>3</v>
      </c>
      <c r="J42" s="71" t="n">
        <v>0</v>
      </c>
      <c r="K42" s="71" t="inlineStr">
        <is>
          <t>1</t>
        </is>
      </c>
      <c r="L42" s="71" t="n">
        <v>3</v>
      </c>
      <c r="M42" s="71" t="n">
        <v>0</v>
      </c>
      <c r="N42" s="71" t="inlineStr">
        <is>
          <t>1</t>
        </is>
      </c>
      <c r="O42" s="71" t="n">
        <v>3</v>
      </c>
      <c r="P42" s="71" t="n">
        <v>0</v>
      </c>
      <c r="Q42" s="71" t="inlineStr">
        <is>
          <t>1</t>
        </is>
      </c>
      <c r="R42" s="71" t="n">
        <v>1</v>
      </c>
      <c r="S42" s="71" t="n">
        <v>0</v>
      </c>
    </row>
    <row r="43">
      <c r="A43" s="69">
        <f>Partite!$A43</f>
        <v/>
      </c>
      <c r="B43" s="25">
        <f>Partite!$B43</f>
        <v/>
      </c>
      <c r="C43" s="70">
        <f>IF(Partite!$E43="","",Partite!$E43)</f>
        <v/>
      </c>
      <c r="D43" s="70">
        <f>IF(Partite!$F43="","",Partite!$F43)</f>
        <v/>
      </c>
      <c r="E43" s="71" t="inlineStr">
        <is>
          <t>1</t>
        </is>
      </c>
      <c r="F43" s="71" t="n">
        <v>2</v>
      </c>
      <c r="G43" s="71" t="n">
        <v>0</v>
      </c>
      <c r="H43" s="71" t="inlineStr">
        <is>
          <t>1</t>
        </is>
      </c>
      <c r="I43" s="71" t="n">
        <v>2</v>
      </c>
      <c r="J43" s="71" t="n">
        <v>0</v>
      </c>
      <c r="K43" s="71" t="inlineStr">
        <is>
          <t>1</t>
        </is>
      </c>
      <c r="L43" s="71" t="n">
        <v>3</v>
      </c>
      <c r="M43" s="71" t="n">
        <v>0</v>
      </c>
      <c r="N43" s="71" t="inlineStr">
        <is>
          <t>1</t>
        </is>
      </c>
      <c r="O43" s="71" t="n">
        <v>3</v>
      </c>
      <c r="P43" s="71" t="n">
        <v>1</v>
      </c>
      <c r="Q43" s="71" t="inlineStr">
        <is>
          <t>1</t>
        </is>
      </c>
      <c r="R43" s="71" t="n">
        <v>2</v>
      </c>
      <c r="S43" s="71" t="n">
        <v>1</v>
      </c>
    </row>
    <row r="44">
      <c r="A44" s="69">
        <f>Partite!$A44</f>
        <v/>
      </c>
      <c r="B44" s="25">
        <f>Partite!$B44</f>
        <v/>
      </c>
      <c r="C44" s="70">
        <f>IF(Partite!$E44="","",Partite!$E44)</f>
        <v/>
      </c>
      <c r="D44" s="70">
        <f>IF(Partite!$F44="","",Partite!$F44)</f>
        <v/>
      </c>
      <c r="E44" s="71" t="inlineStr">
        <is>
          <t>2</t>
        </is>
      </c>
      <c r="F44" s="71" t="n">
        <v>0</v>
      </c>
      <c r="G44" s="71" t="n">
        <v>2</v>
      </c>
      <c r="H44" s="71" t="inlineStr">
        <is>
          <t>2</t>
        </is>
      </c>
      <c r="I44" s="71" t="n">
        <v>1</v>
      </c>
      <c r="J44" s="71" t="n">
        <v>2</v>
      </c>
      <c r="K44" s="71" t="inlineStr">
        <is>
          <t>2</t>
        </is>
      </c>
      <c r="L44" s="71" t="n">
        <v>1</v>
      </c>
      <c r="M44" s="71" t="n">
        <v>3</v>
      </c>
      <c r="N44" s="71" t="inlineStr">
        <is>
          <t>2</t>
        </is>
      </c>
      <c r="O44" s="71" t="n">
        <v>0</v>
      </c>
      <c r="P44" s="71" t="n">
        <v>1</v>
      </c>
      <c r="Q44" s="71" t="inlineStr">
        <is>
          <t>2</t>
        </is>
      </c>
      <c r="R44" s="71" t="n">
        <v>0</v>
      </c>
      <c r="S44" s="71" t="n">
        <v>1</v>
      </c>
    </row>
    <row r="45">
      <c r="A45" s="69">
        <f>Partite!$A45</f>
        <v/>
      </c>
      <c r="B45" s="25">
        <f>Partite!$B45</f>
        <v/>
      </c>
      <c r="C45" s="70">
        <f>IF(Partite!$E45="","",Partite!$E45)</f>
        <v/>
      </c>
      <c r="D45" s="70">
        <f>IF(Partite!$F45="","",Partite!$F45)</f>
        <v/>
      </c>
      <c r="E45" s="71" t="inlineStr">
        <is>
          <t>1</t>
        </is>
      </c>
      <c r="F45" s="71" t="n">
        <v>2</v>
      </c>
      <c r="G45" s="71" t="n">
        <v>1</v>
      </c>
      <c r="H45" s="71" t="inlineStr">
        <is>
          <t>2</t>
        </is>
      </c>
      <c r="I45" s="71" t="n">
        <v>2</v>
      </c>
      <c r="J45" s="71" t="n">
        <v>3</v>
      </c>
      <c r="K45" s="71" t="inlineStr">
        <is>
          <t>X</t>
        </is>
      </c>
      <c r="L45" s="71" t="n">
        <v>1</v>
      </c>
      <c r="M45" s="71" t="n">
        <v>1</v>
      </c>
      <c r="N45" s="71" t="inlineStr">
        <is>
          <t>X</t>
        </is>
      </c>
      <c r="O45" s="71" t="n">
        <v>1</v>
      </c>
      <c r="P45" s="71" t="n">
        <v>1</v>
      </c>
      <c r="Q45" s="71" t="inlineStr">
        <is>
          <t>X</t>
        </is>
      </c>
      <c r="R45" s="71" t="n">
        <v>2</v>
      </c>
      <c r="S45" s="71" t="n">
        <v>2</v>
      </c>
    </row>
    <row r="46">
      <c r="A46" s="69">
        <f>Partite!$A46</f>
        <v/>
      </c>
      <c r="B46" s="25">
        <f>Partite!$B46</f>
        <v/>
      </c>
      <c r="C46" s="70">
        <f>IF(Partite!$E46="","",Partite!$E46)</f>
        <v/>
      </c>
      <c r="D46" s="70">
        <f>IF(Partite!$F46="","",Partite!$F46)</f>
        <v/>
      </c>
      <c r="E46" s="71" t="inlineStr">
        <is>
          <t>2</t>
        </is>
      </c>
      <c r="F46" s="71" t="n">
        <v>1</v>
      </c>
      <c r="G46" s="71" t="n">
        <v>2</v>
      </c>
      <c r="H46" s="71" t="inlineStr">
        <is>
          <t>2</t>
        </is>
      </c>
      <c r="I46" s="71" t="n">
        <v>1</v>
      </c>
      <c r="J46" s="71" t="n">
        <v>2</v>
      </c>
      <c r="K46" s="71" t="inlineStr">
        <is>
          <t>2</t>
        </is>
      </c>
      <c r="L46" s="71" t="n">
        <v>1</v>
      </c>
      <c r="M46" s="71" t="n">
        <v>2</v>
      </c>
      <c r="N46" s="71" t="inlineStr">
        <is>
          <t>2</t>
        </is>
      </c>
      <c r="O46" s="71" t="n">
        <v>1</v>
      </c>
      <c r="P46" s="71" t="n">
        <v>2</v>
      </c>
      <c r="Q46" s="71" t="inlineStr">
        <is>
          <t>X</t>
        </is>
      </c>
      <c r="R46" s="71" t="n">
        <v>1</v>
      </c>
      <c r="S46" s="71" t="n">
        <v>1</v>
      </c>
    </row>
    <row r="47">
      <c r="A47" s="69">
        <f>Partite!$A47</f>
        <v/>
      </c>
      <c r="B47" s="25">
        <f>Partite!$B47</f>
        <v/>
      </c>
      <c r="C47" s="70">
        <f>IF(Partite!$E47="","",Partite!$E47)</f>
        <v/>
      </c>
      <c r="D47" s="70">
        <f>IF(Partite!$F47="","",Partite!$F47)</f>
        <v/>
      </c>
      <c r="E47" s="71" t="inlineStr">
        <is>
          <t>1</t>
        </is>
      </c>
      <c r="F47" s="71" t="n">
        <v>3</v>
      </c>
      <c r="G47" s="71" t="n">
        <v>0</v>
      </c>
      <c r="H47" s="71" t="inlineStr">
        <is>
          <t>1</t>
        </is>
      </c>
      <c r="I47" s="71" t="n">
        <v>3</v>
      </c>
      <c r="J47" s="71" t="n">
        <v>0</v>
      </c>
      <c r="K47" s="71" t="inlineStr">
        <is>
          <t>1</t>
        </is>
      </c>
      <c r="L47" s="71" t="n">
        <v>2</v>
      </c>
      <c r="M47" s="71" t="n">
        <v>0</v>
      </c>
      <c r="N47" s="71" t="inlineStr">
        <is>
          <t>1</t>
        </is>
      </c>
      <c r="O47" s="71" t="n">
        <v>3</v>
      </c>
      <c r="P47" s="71" t="n">
        <v>0</v>
      </c>
      <c r="Q47" s="71" t="inlineStr">
        <is>
          <t>1</t>
        </is>
      </c>
      <c r="R47" s="71" t="n">
        <v>2</v>
      </c>
      <c r="S47" s="71" t="n">
        <v>0</v>
      </c>
    </row>
    <row r="48">
      <c r="A48" s="69">
        <f>Partite!$A48</f>
        <v/>
      </c>
      <c r="B48" s="25">
        <f>Partite!$B48</f>
        <v/>
      </c>
      <c r="C48" s="70">
        <f>IF(Partite!$E48="","",Partite!$E48)</f>
        <v/>
      </c>
      <c r="D48" s="70">
        <f>IF(Partite!$F48="","",Partite!$F48)</f>
        <v/>
      </c>
      <c r="E48" s="71" t="inlineStr">
        <is>
          <t>1</t>
        </is>
      </c>
      <c r="F48" s="71" t="n">
        <v>2</v>
      </c>
      <c r="G48" s="71" t="n">
        <v>0</v>
      </c>
      <c r="H48" s="71" t="inlineStr">
        <is>
          <t>1</t>
        </is>
      </c>
      <c r="I48" s="71" t="n">
        <v>2</v>
      </c>
      <c r="J48" s="71" t="n">
        <v>0</v>
      </c>
      <c r="K48" s="71" t="inlineStr">
        <is>
          <t>1</t>
        </is>
      </c>
      <c r="L48" s="71" t="n">
        <v>3</v>
      </c>
      <c r="M48" s="71" t="n">
        <v>1</v>
      </c>
      <c r="N48" s="71" t="inlineStr">
        <is>
          <t>1</t>
        </is>
      </c>
      <c r="O48" s="71" t="n">
        <v>2</v>
      </c>
      <c r="P48" s="71" t="n">
        <v>0</v>
      </c>
      <c r="Q48" s="71" t="inlineStr">
        <is>
          <t>1</t>
        </is>
      </c>
      <c r="R48" s="71" t="n">
        <v>2</v>
      </c>
      <c r="S48" s="71" t="n">
        <v>1</v>
      </c>
    </row>
    <row r="49">
      <c r="A49" s="69">
        <f>Partite!$A49</f>
        <v/>
      </c>
      <c r="B49" s="25">
        <f>Partite!$B49</f>
        <v/>
      </c>
      <c r="C49" s="70">
        <f>IF(Partite!$E49="","",Partite!$E49)</f>
        <v/>
      </c>
      <c r="D49" s="70">
        <f>IF(Partite!$F49="","",Partite!$F49)</f>
        <v/>
      </c>
      <c r="E49" s="71" t="inlineStr">
        <is>
          <t>2</t>
        </is>
      </c>
      <c r="F49" s="71" t="n">
        <v>0</v>
      </c>
      <c r="G49" s="71" t="n">
        <v>2</v>
      </c>
      <c r="H49" s="71" t="inlineStr">
        <is>
          <t>2</t>
        </is>
      </c>
      <c r="I49" s="71" t="n">
        <v>1</v>
      </c>
      <c r="J49" s="71" t="n">
        <v>2</v>
      </c>
      <c r="K49" s="71" t="inlineStr">
        <is>
          <t>2</t>
        </is>
      </c>
      <c r="L49" s="71" t="n">
        <v>0</v>
      </c>
      <c r="M49" s="71" t="n">
        <v>2</v>
      </c>
      <c r="N49" s="71" t="inlineStr">
        <is>
          <t>2</t>
        </is>
      </c>
      <c r="O49" s="71" t="n">
        <v>1</v>
      </c>
      <c r="P49" s="71" t="n">
        <v>2</v>
      </c>
      <c r="Q49" s="71" t="inlineStr">
        <is>
          <t>X</t>
        </is>
      </c>
      <c r="R49" s="71" t="n">
        <v>1</v>
      </c>
      <c r="S49" s="71" t="n">
        <v>1</v>
      </c>
    </row>
    <row r="50">
      <c r="A50" s="69">
        <f>Partite!$A50</f>
        <v/>
      </c>
      <c r="B50" s="25">
        <f>Partite!$B50</f>
        <v/>
      </c>
      <c r="C50" s="70">
        <f>IF(Partite!$E50="","",Partite!$E50)</f>
        <v/>
      </c>
      <c r="D50" s="70">
        <f>IF(Partite!$F50="","",Partite!$F50)</f>
        <v/>
      </c>
      <c r="E50" s="71" t="inlineStr">
        <is>
          <t>1</t>
        </is>
      </c>
      <c r="F50" s="71" t="n">
        <v>2</v>
      </c>
      <c r="G50" s="71" t="n">
        <v>0</v>
      </c>
      <c r="H50" s="71" t="inlineStr">
        <is>
          <t>1</t>
        </is>
      </c>
      <c r="I50" s="71" t="n">
        <v>1</v>
      </c>
      <c r="J50" s="71" t="n">
        <v>0</v>
      </c>
      <c r="K50" s="71" t="inlineStr">
        <is>
          <t>1</t>
        </is>
      </c>
      <c r="L50" s="71" t="n">
        <v>2</v>
      </c>
      <c r="M50" s="71" t="n">
        <v>0</v>
      </c>
      <c r="N50" s="71" t="inlineStr">
        <is>
          <t>X</t>
        </is>
      </c>
      <c r="O50" s="71" t="n">
        <v>1</v>
      </c>
      <c r="P50" s="71" t="n">
        <v>1</v>
      </c>
      <c r="Q50" s="71" t="inlineStr">
        <is>
          <t>1</t>
        </is>
      </c>
      <c r="R50" s="71" t="n">
        <v>2</v>
      </c>
      <c r="S50" s="71" t="n">
        <v>0</v>
      </c>
    </row>
    <row r="51">
      <c r="A51" s="69">
        <f>Partite!$A51</f>
        <v/>
      </c>
      <c r="B51" s="25">
        <f>Partite!$B51</f>
        <v/>
      </c>
      <c r="C51" s="70">
        <f>IF(Partite!$E51="","",Partite!$E51)</f>
        <v/>
      </c>
      <c r="D51" s="70">
        <f>IF(Partite!$F51="","",Partite!$F51)</f>
        <v/>
      </c>
      <c r="E51" s="71" t="inlineStr">
        <is>
          <t>X</t>
        </is>
      </c>
      <c r="F51" s="71" t="n">
        <v>2</v>
      </c>
      <c r="G51" s="71" t="n">
        <v>2</v>
      </c>
      <c r="H51" s="71" t="inlineStr">
        <is>
          <t>2</t>
        </is>
      </c>
      <c r="I51" s="71" t="n">
        <v>1</v>
      </c>
      <c r="J51" s="71" t="n">
        <v>3</v>
      </c>
      <c r="K51" s="71" t="inlineStr">
        <is>
          <t>2</t>
        </is>
      </c>
      <c r="L51" s="71" t="n">
        <v>1</v>
      </c>
      <c r="M51" s="71" t="n">
        <v>2</v>
      </c>
      <c r="N51" s="71" t="inlineStr">
        <is>
          <t>2</t>
        </is>
      </c>
      <c r="O51" s="71" t="n">
        <v>0</v>
      </c>
      <c r="P51" s="71" t="n">
        <v>2</v>
      </c>
      <c r="Q51" s="71" t="inlineStr">
        <is>
          <t>1</t>
        </is>
      </c>
      <c r="R51" s="71" t="n">
        <v>4</v>
      </c>
      <c r="S51" s="71" t="n">
        <v>2</v>
      </c>
    </row>
    <row r="52">
      <c r="A52" s="69">
        <f>Partite!$A52</f>
        <v/>
      </c>
      <c r="B52" s="25">
        <f>Partite!$B52</f>
        <v/>
      </c>
      <c r="C52" s="70">
        <f>IF(Partite!$E52="","",Partite!$E52)</f>
        <v/>
      </c>
      <c r="D52" s="70">
        <f>IF(Partite!$F52="","",Partite!$F52)</f>
        <v/>
      </c>
      <c r="E52" s="71" t="inlineStr">
        <is>
          <t>2</t>
        </is>
      </c>
      <c r="F52" s="71" t="n">
        <v>1</v>
      </c>
      <c r="G52" s="71" t="n">
        <v>2</v>
      </c>
      <c r="H52" s="71" t="inlineStr">
        <is>
          <t>2</t>
        </is>
      </c>
      <c r="I52" s="71" t="n">
        <v>1</v>
      </c>
      <c r="J52" s="71" t="n">
        <v>2</v>
      </c>
      <c r="K52" s="71" t="inlineStr">
        <is>
          <t>X</t>
        </is>
      </c>
      <c r="L52" s="71" t="n">
        <v>2</v>
      </c>
      <c r="M52" s="71" t="n">
        <v>2</v>
      </c>
      <c r="N52" s="71" t="inlineStr">
        <is>
          <t>1</t>
        </is>
      </c>
      <c r="O52" s="71" t="n">
        <v>2</v>
      </c>
      <c r="P52" s="71" t="n">
        <v>1</v>
      </c>
      <c r="Q52" s="71" t="inlineStr">
        <is>
          <t>1</t>
        </is>
      </c>
      <c r="R52" s="71" t="n">
        <v>1</v>
      </c>
      <c r="S52" s="71" t="n">
        <v>0</v>
      </c>
    </row>
    <row r="53">
      <c r="A53" s="74">
        <f>Partite!$A53</f>
        <v/>
      </c>
      <c r="B53" s="30">
        <f>Partite!$B53</f>
        <v/>
      </c>
      <c r="C53" s="75">
        <f>IF(Partite!$E53="","",Partite!$E53)</f>
        <v/>
      </c>
      <c r="D53" s="75">
        <f>IF(Partite!$F53="","",Partite!$F53)</f>
        <v/>
      </c>
      <c r="E53" s="71" t="inlineStr">
        <is>
          <t>2</t>
        </is>
      </c>
      <c r="F53" s="71" t="n">
        <v>1</v>
      </c>
      <c r="G53" s="71" t="n">
        <v>2</v>
      </c>
      <c r="H53" s="71" t="inlineStr">
        <is>
          <t>2</t>
        </is>
      </c>
      <c r="I53" s="71" t="n">
        <v>1</v>
      </c>
      <c r="J53" s="71" t="n">
        <v>2</v>
      </c>
      <c r="K53" s="71" t="inlineStr">
        <is>
          <t>X</t>
        </is>
      </c>
      <c r="L53" s="71" t="n">
        <v>1</v>
      </c>
      <c r="M53" s="71" t="n">
        <v>1</v>
      </c>
      <c r="N53" s="71" t="inlineStr">
        <is>
          <t>2</t>
        </is>
      </c>
      <c r="O53" s="71" t="n">
        <v>2</v>
      </c>
      <c r="P53" s="71" t="n">
        <v>3</v>
      </c>
      <c r="Q53" s="71" t="inlineStr">
        <is>
          <t>X</t>
        </is>
      </c>
      <c r="R53" s="71" t="n">
        <v>1</v>
      </c>
      <c r="S53" s="71" t="n">
        <v>1</v>
      </c>
    </row>
    <row r="54">
      <c r="A54" s="74">
        <f>Partite!$A54</f>
        <v/>
      </c>
      <c r="B54" s="30">
        <f>Partite!$B54</f>
        <v/>
      </c>
      <c r="C54" s="75">
        <f>IF(Partite!$E54="","",Partite!$E54)</f>
        <v/>
      </c>
      <c r="D54" s="75">
        <f>IF(Partite!$F54="","",Partite!$F54)</f>
        <v/>
      </c>
      <c r="E54" s="71" t="inlineStr">
        <is>
          <t>2</t>
        </is>
      </c>
      <c r="F54" s="71" t="n">
        <v>0</v>
      </c>
      <c r="G54" s="71" t="n">
        <v>3</v>
      </c>
      <c r="H54" s="71" t="inlineStr">
        <is>
          <t>2</t>
        </is>
      </c>
      <c r="I54" s="71" t="n">
        <v>1</v>
      </c>
      <c r="J54" s="71" t="n">
        <v>2</v>
      </c>
      <c r="K54" s="71" t="inlineStr">
        <is>
          <t>2</t>
        </is>
      </c>
      <c r="L54" s="71" t="n">
        <v>1</v>
      </c>
      <c r="M54" s="71" t="n">
        <v>3</v>
      </c>
      <c r="N54" s="71" t="inlineStr">
        <is>
          <t>2</t>
        </is>
      </c>
      <c r="O54" s="71" t="n">
        <v>0</v>
      </c>
      <c r="P54" s="71" t="n">
        <v>3</v>
      </c>
      <c r="Q54" s="71" t="inlineStr">
        <is>
          <t>2</t>
        </is>
      </c>
      <c r="R54" s="71" t="n">
        <v>1</v>
      </c>
      <c r="S54" s="71" t="n">
        <v>2</v>
      </c>
    </row>
    <row r="55">
      <c r="A55" s="74">
        <f>Partite!$A55</f>
        <v/>
      </c>
      <c r="B55" s="30">
        <f>Partite!$B55</f>
        <v/>
      </c>
      <c r="C55" s="75">
        <f>IF(Partite!$E55="","",Partite!$E55)</f>
        <v/>
      </c>
      <c r="D55" s="75">
        <f>IF(Partite!$F55="","",Partite!$F55)</f>
        <v/>
      </c>
      <c r="E55" s="71" t="inlineStr">
        <is>
          <t>2</t>
        </is>
      </c>
      <c r="F55" s="71" t="n">
        <v>1</v>
      </c>
      <c r="G55" s="71" t="n">
        <v>2</v>
      </c>
      <c r="H55" s="71" t="inlineStr">
        <is>
          <t>X</t>
        </is>
      </c>
      <c r="I55" s="71" t="n">
        <v>1</v>
      </c>
      <c r="J55" s="71" t="n">
        <v>1</v>
      </c>
      <c r="K55" s="71" t="inlineStr">
        <is>
          <t>X</t>
        </is>
      </c>
      <c r="L55" s="71" t="n">
        <v>2</v>
      </c>
      <c r="M55" s="71" t="n">
        <v>2</v>
      </c>
      <c r="N55" s="71" t="inlineStr">
        <is>
          <t>2</t>
        </is>
      </c>
      <c r="O55" s="71" t="n">
        <v>1</v>
      </c>
      <c r="P55" s="71" t="n">
        <v>3</v>
      </c>
      <c r="Q55" s="71" t="inlineStr">
        <is>
          <t>2</t>
        </is>
      </c>
      <c r="R55" s="71" t="n">
        <v>0</v>
      </c>
      <c r="S55" s="71" t="n">
        <v>2</v>
      </c>
    </row>
    <row r="56">
      <c r="A56" s="74">
        <f>Partite!$A56</f>
        <v/>
      </c>
      <c r="B56" s="30">
        <f>Partite!$B56</f>
        <v/>
      </c>
      <c r="C56" s="75">
        <f>IF(Partite!$E56="","",Partite!$E56)</f>
        <v/>
      </c>
      <c r="D56" s="75">
        <f>IF(Partite!$F56="","",Partite!$F56)</f>
        <v/>
      </c>
      <c r="E56" s="71" t="inlineStr">
        <is>
          <t>1</t>
        </is>
      </c>
      <c r="F56" s="71" t="n">
        <v>2</v>
      </c>
      <c r="G56" s="71" t="n">
        <v>1</v>
      </c>
      <c r="H56" s="71" t="inlineStr">
        <is>
          <t>1</t>
        </is>
      </c>
      <c r="I56" s="71" t="n">
        <v>3</v>
      </c>
      <c r="J56" s="71" t="n">
        <v>1</v>
      </c>
      <c r="K56" s="71" t="inlineStr">
        <is>
          <t>1</t>
        </is>
      </c>
      <c r="L56" s="71" t="n">
        <v>2</v>
      </c>
      <c r="M56" s="71" t="n">
        <v>1</v>
      </c>
      <c r="N56" s="71" t="inlineStr">
        <is>
          <t>1</t>
        </is>
      </c>
      <c r="O56" s="71" t="n">
        <v>2</v>
      </c>
      <c r="P56" s="71" t="n">
        <v>0</v>
      </c>
      <c r="Q56" s="71" t="inlineStr">
        <is>
          <t>1</t>
        </is>
      </c>
      <c r="R56" s="71" t="n">
        <v>3</v>
      </c>
      <c r="S56" s="71" t="n">
        <v>1</v>
      </c>
    </row>
    <row r="57">
      <c r="A57" s="74">
        <f>Partite!$A57</f>
        <v/>
      </c>
      <c r="B57" s="30">
        <f>Partite!$B57</f>
        <v/>
      </c>
      <c r="C57" s="75">
        <f>IF(Partite!$E57="","",Partite!$E57)</f>
        <v/>
      </c>
      <c r="D57" s="75">
        <f>IF(Partite!$F57="","",Partite!$F57)</f>
        <v/>
      </c>
      <c r="E57" s="71" t="inlineStr">
        <is>
          <t>1</t>
        </is>
      </c>
      <c r="F57" s="71" t="n">
        <v>3</v>
      </c>
      <c r="G57" s="71" t="n">
        <v>1</v>
      </c>
      <c r="H57" s="71" t="inlineStr">
        <is>
          <t>1</t>
        </is>
      </c>
      <c r="I57" s="71" t="n">
        <v>2</v>
      </c>
      <c r="J57" s="71" t="n">
        <v>0</v>
      </c>
      <c r="K57" s="71" t="inlineStr">
        <is>
          <t>1</t>
        </is>
      </c>
      <c r="L57" s="71" t="n">
        <v>3</v>
      </c>
      <c r="M57" s="71" t="n">
        <v>1</v>
      </c>
      <c r="N57" s="71" t="inlineStr">
        <is>
          <t>1</t>
        </is>
      </c>
      <c r="O57" s="71" t="n">
        <v>2</v>
      </c>
      <c r="P57" s="71" t="n">
        <v>1</v>
      </c>
      <c r="Q57" s="71" t="inlineStr">
        <is>
          <t>1</t>
        </is>
      </c>
      <c r="R57" s="71" t="n">
        <v>2</v>
      </c>
      <c r="S57" s="71" t="n">
        <v>0</v>
      </c>
    </row>
    <row r="58">
      <c r="A58" s="74">
        <f>Partite!$A58</f>
        <v/>
      </c>
      <c r="B58" s="30">
        <f>Partite!$B58</f>
        <v/>
      </c>
      <c r="C58" s="75">
        <f>IF(Partite!$E58="","",Partite!$E58)</f>
        <v/>
      </c>
      <c r="D58" s="75">
        <f>IF(Partite!$F58="","",Partite!$F58)</f>
        <v/>
      </c>
      <c r="E58" s="71" t="inlineStr">
        <is>
          <t>2</t>
        </is>
      </c>
      <c r="F58" s="71" t="n">
        <v>1</v>
      </c>
      <c r="G58" s="71" t="n">
        <v>2</v>
      </c>
      <c r="H58" s="71" t="inlineStr">
        <is>
          <t>2</t>
        </is>
      </c>
      <c r="I58" s="71" t="n">
        <v>1</v>
      </c>
      <c r="J58" s="71" t="n">
        <v>2</v>
      </c>
      <c r="K58" s="71" t="inlineStr">
        <is>
          <t>X</t>
        </is>
      </c>
      <c r="L58" s="71" t="n">
        <v>1</v>
      </c>
      <c r="M58" s="71" t="n">
        <v>1</v>
      </c>
      <c r="N58" s="71" t="inlineStr">
        <is>
          <t>2</t>
        </is>
      </c>
      <c r="O58" s="71" t="n">
        <v>1</v>
      </c>
      <c r="P58" s="71" t="n">
        <v>3</v>
      </c>
      <c r="Q58" s="71" t="inlineStr">
        <is>
          <t>1</t>
        </is>
      </c>
      <c r="R58" s="71" t="n">
        <v>2</v>
      </c>
      <c r="S58" s="71" t="n">
        <v>1</v>
      </c>
    </row>
    <row r="59">
      <c r="A59" s="74">
        <f>Partite!$A59</f>
        <v/>
      </c>
      <c r="B59" s="30">
        <f>Partite!$B59</f>
        <v/>
      </c>
      <c r="C59" s="75">
        <f>IF(Partite!$E59="","",Partite!$E59)</f>
        <v/>
      </c>
      <c r="D59" s="75">
        <f>IF(Partite!$F59="","",Partite!$F59)</f>
        <v/>
      </c>
      <c r="E59" s="71" t="inlineStr">
        <is>
          <t>1</t>
        </is>
      </c>
      <c r="F59" s="71" t="n">
        <v>2</v>
      </c>
      <c r="G59" s="71" t="n">
        <v>1</v>
      </c>
      <c r="H59" s="71" t="inlineStr">
        <is>
          <t>1</t>
        </is>
      </c>
      <c r="I59" s="71" t="n">
        <v>2</v>
      </c>
      <c r="J59" s="71" t="n">
        <v>1</v>
      </c>
      <c r="K59" s="71" t="inlineStr">
        <is>
          <t>X</t>
        </is>
      </c>
      <c r="L59" s="71" t="n">
        <v>1</v>
      </c>
      <c r="M59" s="71" t="n">
        <v>1</v>
      </c>
      <c r="N59" s="71" t="inlineStr">
        <is>
          <t>1</t>
        </is>
      </c>
      <c r="O59" s="71" t="n">
        <v>2</v>
      </c>
      <c r="P59" s="71" t="n">
        <v>1</v>
      </c>
      <c r="Q59" s="71" t="inlineStr">
        <is>
          <t>X</t>
        </is>
      </c>
      <c r="R59" s="71" t="n">
        <v>1</v>
      </c>
      <c r="S59" s="71" t="n">
        <v>1</v>
      </c>
    </row>
    <row r="60">
      <c r="A60" s="74">
        <f>Partite!$A60</f>
        <v/>
      </c>
      <c r="B60" s="30">
        <f>Partite!$B60</f>
        <v/>
      </c>
      <c r="C60" s="75">
        <f>IF(Partite!$E60="","",Partite!$E60)</f>
        <v/>
      </c>
      <c r="D60" s="75">
        <f>IF(Partite!$F60="","",Partite!$F60)</f>
        <v/>
      </c>
      <c r="E60" s="71" t="inlineStr">
        <is>
          <t>1</t>
        </is>
      </c>
      <c r="F60" s="71" t="n">
        <v>2</v>
      </c>
      <c r="G60" s="71" t="n">
        <v>0</v>
      </c>
      <c r="H60" s="71" t="inlineStr">
        <is>
          <t>X</t>
        </is>
      </c>
      <c r="I60" s="71" t="n">
        <v>1</v>
      </c>
      <c r="J60" s="71" t="n">
        <v>1</v>
      </c>
      <c r="K60" s="71" t="inlineStr">
        <is>
          <t>X</t>
        </is>
      </c>
      <c r="L60" s="71" t="n">
        <v>1</v>
      </c>
      <c r="M60" s="71" t="n">
        <v>1</v>
      </c>
      <c r="N60" s="71" t="inlineStr">
        <is>
          <t>X</t>
        </is>
      </c>
      <c r="O60" s="71" t="n">
        <v>1</v>
      </c>
      <c r="P60" s="71" t="n">
        <v>1</v>
      </c>
      <c r="Q60" s="71" t="inlineStr">
        <is>
          <t>1</t>
        </is>
      </c>
      <c r="R60" s="71" t="n">
        <v>2</v>
      </c>
      <c r="S60" s="71" t="n">
        <v>1</v>
      </c>
    </row>
    <row r="61">
      <c r="A61" s="74">
        <f>Partite!$A61</f>
        <v/>
      </c>
      <c r="B61" s="30">
        <f>Partite!$B61</f>
        <v/>
      </c>
      <c r="C61" s="75">
        <f>IF(Partite!$E61="","",Partite!$E61)</f>
        <v/>
      </c>
      <c r="D61" s="75">
        <f>IF(Partite!$F61="","",Partite!$F61)</f>
        <v/>
      </c>
      <c r="E61" s="71" t="inlineStr">
        <is>
          <t>X</t>
        </is>
      </c>
      <c r="F61" s="71" t="n">
        <v>1</v>
      </c>
      <c r="G61" s="71" t="n">
        <v>1</v>
      </c>
      <c r="H61" s="71" t="inlineStr">
        <is>
          <t>2</t>
        </is>
      </c>
      <c r="I61" s="71" t="n">
        <v>0</v>
      </c>
      <c r="J61" s="71" t="n">
        <v>2</v>
      </c>
      <c r="K61" s="71" t="inlineStr">
        <is>
          <t>2</t>
        </is>
      </c>
      <c r="L61" s="71" t="n">
        <v>1</v>
      </c>
      <c r="M61" s="71" t="n">
        <v>2</v>
      </c>
      <c r="N61" s="71" t="inlineStr">
        <is>
          <t>2</t>
        </is>
      </c>
      <c r="O61" s="71" t="n">
        <v>1</v>
      </c>
      <c r="P61" s="71" t="n">
        <v>2</v>
      </c>
      <c r="Q61" s="71" t="inlineStr">
        <is>
          <t>X</t>
        </is>
      </c>
      <c r="R61" s="71" t="n">
        <v>1</v>
      </c>
      <c r="S61" s="71" t="n">
        <v>1</v>
      </c>
    </row>
    <row r="62">
      <c r="A62" s="74">
        <f>Partite!$A62</f>
        <v/>
      </c>
      <c r="B62" s="30">
        <f>Partite!$B62</f>
        <v/>
      </c>
      <c r="C62" s="75">
        <f>IF(Partite!$E62="","",Partite!$E62)</f>
        <v/>
      </c>
      <c r="D62" s="75">
        <f>IF(Partite!$F62="","",Partite!$F62)</f>
        <v/>
      </c>
      <c r="E62" s="71" t="inlineStr">
        <is>
          <t>X</t>
        </is>
      </c>
      <c r="F62" s="71" t="n">
        <v>1</v>
      </c>
      <c r="G62" s="71" t="n">
        <v>1</v>
      </c>
      <c r="H62" s="71" t="inlineStr">
        <is>
          <t>X</t>
        </is>
      </c>
      <c r="I62" s="71" t="n">
        <v>0</v>
      </c>
      <c r="J62" s="71" t="n">
        <v>0</v>
      </c>
      <c r="K62" s="71" t="inlineStr">
        <is>
          <t>2</t>
        </is>
      </c>
      <c r="L62" s="71" t="n">
        <v>1</v>
      </c>
      <c r="M62" s="71" t="n">
        <v>2</v>
      </c>
      <c r="N62" s="71" t="inlineStr">
        <is>
          <t>X</t>
        </is>
      </c>
      <c r="O62" s="71" t="n">
        <v>1</v>
      </c>
      <c r="P62" s="71" t="n">
        <v>1</v>
      </c>
      <c r="Q62" s="71" t="inlineStr">
        <is>
          <t>1</t>
        </is>
      </c>
      <c r="R62" s="71" t="n">
        <v>1</v>
      </c>
      <c r="S62" s="71" t="n">
        <v>0</v>
      </c>
    </row>
    <row r="63">
      <c r="A63" s="69">
        <f>Partite!$A63</f>
        <v/>
      </c>
      <c r="B63" s="25">
        <f>Partite!$B63</f>
        <v/>
      </c>
      <c r="C63" s="70">
        <f>IF(Partite!$E63="","",Partite!$E63)</f>
        <v/>
      </c>
      <c r="D63" s="70">
        <f>IF(Partite!$F63="","",Partite!$F63)</f>
        <v/>
      </c>
      <c r="E63" s="71" t="inlineStr">
        <is>
          <t>1</t>
        </is>
      </c>
      <c r="F63" s="71" t="n">
        <v>2</v>
      </c>
      <c r="G63" s="71" t="n">
        <v>1</v>
      </c>
      <c r="H63" s="71" t="inlineStr">
        <is>
          <t>1</t>
        </is>
      </c>
      <c r="I63" s="71" t="n">
        <v>2</v>
      </c>
      <c r="J63" s="71" t="n">
        <v>1</v>
      </c>
      <c r="K63" s="71" t="inlineStr">
        <is>
          <t>1</t>
        </is>
      </c>
      <c r="L63" s="71" t="n">
        <v>2</v>
      </c>
      <c r="M63" s="71" t="n">
        <v>1</v>
      </c>
      <c r="N63" s="71" t="inlineStr">
        <is>
          <t>1</t>
        </is>
      </c>
      <c r="O63" s="71" t="n">
        <v>3</v>
      </c>
      <c r="P63" s="71" t="n">
        <v>2</v>
      </c>
      <c r="Q63" s="71" t="inlineStr">
        <is>
          <t>1</t>
        </is>
      </c>
      <c r="R63" s="71" t="n">
        <v>2</v>
      </c>
      <c r="S63" s="71" t="n">
        <v>1</v>
      </c>
    </row>
    <row r="64">
      <c r="A64" s="69">
        <f>Partite!$A64</f>
        <v/>
      </c>
      <c r="B64" s="25">
        <f>Partite!$B64</f>
        <v/>
      </c>
      <c r="C64" s="70">
        <f>IF(Partite!$E64="","",Partite!$E64)</f>
        <v/>
      </c>
      <c r="D64" s="70">
        <f>IF(Partite!$F64="","",Partite!$F64)</f>
        <v/>
      </c>
      <c r="E64" s="71" t="inlineStr">
        <is>
          <t>2</t>
        </is>
      </c>
      <c r="F64" s="71" t="n">
        <v>0</v>
      </c>
      <c r="G64" s="71" t="n">
        <v>2</v>
      </c>
      <c r="H64" s="71" t="inlineStr">
        <is>
          <t>2</t>
        </is>
      </c>
      <c r="I64" s="71" t="n">
        <v>1</v>
      </c>
      <c r="J64" s="71" t="n">
        <v>2</v>
      </c>
      <c r="K64" s="71" t="inlineStr">
        <is>
          <t>2</t>
        </is>
      </c>
      <c r="L64" s="71" t="n">
        <v>2</v>
      </c>
      <c r="M64" s="71" t="n">
        <v>3</v>
      </c>
      <c r="N64" s="71" t="inlineStr">
        <is>
          <t>X</t>
        </is>
      </c>
      <c r="O64" s="71" t="n">
        <v>1</v>
      </c>
      <c r="P64" s="71" t="n">
        <v>1</v>
      </c>
      <c r="Q64" s="71" t="inlineStr">
        <is>
          <t>2</t>
        </is>
      </c>
      <c r="R64" s="71" t="n">
        <v>1</v>
      </c>
      <c r="S64" s="71" t="n">
        <v>2</v>
      </c>
    </row>
    <row r="65">
      <c r="A65" s="69">
        <f>Partite!$A65</f>
        <v/>
      </c>
      <c r="B65" s="25">
        <f>Partite!$B65</f>
        <v/>
      </c>
      <c r="C65" s="70">
        <f>IF(Partite!$E65="","",Partite!$E65)</f>
        <v/>
      </c>
      <c r="D65" s="70">
        <f>IF(Partite!$F65="","",Partite!$F65)</f>
        <v/>
      </c>
      <c r="E65" s="71" t="inlineStr">
        <is>
          <t>1</t>
        </is>
      </c>
      <c r="F65" s="71" t="n">
        <v>3</v>
      </c>
      <c r="G65" s="71" t="n">
        <v>1</v>
      </c>
      <c r="H65" s="71" t="inlineStr">
        <is>
          <t>1</t>
        </is>
      </c>
      <c r="I65" s="71" t="n">
        <v>3</v>
      </c>
      <c r="J65" s="71" t="n">
        <v>1</v>
      </c>
      <c r="K65" s="71" t="inlineStr">
        <is>
          <t>X</t>
        </is>
      </c>
      <c r="L65" s="71" t="n">
        <v>1</v>
      </c>
      <c r="M65" s="71" t="n">
        <v>1</v>
      </c>
      <c r="N65" s="71" t="inlineStr">
        <is>
          <t>1</t>
        </is>
      </c>
      <c r="O65" s="71" t="n">
        <v>4</v>
      </c>
      <c r="P65" s="71" t="n">
        <v>1</v>
      </c>
      <c r="Q65" s="71" t="inlineStr">
        <is>
          <t>1</t>
        </is>
      </c>
      <c r="R65" s="71" t="n">
        <v>3</v>
      </c>
      <c r="S65" s="71" t="n">
        <v>1</v>
      </c>
    </row>
    <row r="66">
      <c r="A66" s="69">
        <f>Partite!$A66</f>
        <v/>
      </c>
      <c r="B66" s="25">
        <f>Partite!$B66</f>
        <v/>
      </c>
      <c r="C66" s="70">
        <f>IF(Partite!$E66="","",Partite!$E66)</f>
        <v/>
      </c>
      <c r="D66" s="70">
        <f>IF(Partite!$F66="","",Partite!$F66)</f>
        <v/>
      </c>
      <c r="E66" s="71" t="inlineStr">
        <is>
          <t>X</t>
        </is>
      </c>
      <c r="F66" s="71" t="n">
        <v>2</v>
      </c>
      <c r="G66" s="71" t="n">
        <v>2</v>
      </c>
      <c r="H66" s="71" t="inlineStr">
        <is>
          <t>2</t>
        </is>
      </c>
      <c r="I66" s="71" t="n">
        <v>0</v>
      </c>
      <c r="J66" s="71" t="n">
        <v>2</v>
      </c>
      <c r="K66" s="71" t="inlineStr">
        <is>
          <t>1</t>
        </is>
      </c>
      <c r="L66" s="71" t="n">
        <v>2</v>
      </c>
      <c r="M66" s="71" t="n">
        <v>1</v>
      </c>
      <c r="N66" s="71" t="inlineStr">
        <is>
          <t>2</t>
        </is>
      </c>
      <c r="O66" s="71" t="n">
        <v>1</v>
      </c>
      <c r="P66" s="71" t="n">
        <v>2</v>
      </c>
      <c r="Q66" s="71" t="inlineStr">
        <is>
          <t>X</t>
        </is>
      </c>
      <c r="R66" s="71" t="n">
        <v>1</v>
      </c>
      <c r="S66" s="71" t="n">
        <v>1</v>
      </c>
    </row>
    <row r="67">
      <c r="A67" s="69">
        <f>Partite!$A67</f>
        <v/>
      </c>
      <c r="B67" s="25">
        <f>Partite!$B67</f>
        <v/>
      </c>
      <c r="C67" s="70">
        <f>IF(Partite!$E67="","",Partite!$E67)</f>
        <v/>
      </c>
      <c r="D67" s="70">
        <f>IF(Partite!$F67="","",Partite!$F67)</f>
        <v/>
      </c>
      <c r="E67" s="71" t="inlineStr">
        <is>
          <t>1</t>
        </is>
      </c>
      <c r="F67" s="71" t="n">
        <v>2</v>
      </c>
      <c r="G67" s="71" t="n">
        <v>0</v>
      </c>
      <c r="H67" s="71" t="inlineStr">
        <is>
          <t>1</t>
        </is>
      </c>
      <c r="I67" s="71" t="n">
        <v>2</v>
      </c>
      <c r="J67" s="71" t="n">
        <v>0</v>
      </c>
      <c r="K67" s="71" t="inlineStr">
        <is>
          <t>1</t>
        </is>
      </c>
      <c r="L67" s="71" t="n">
        <v>2</v>
      </c>
      <c r="M67" s="71" t="n">
        <v>1</v>
      </c>
      <c r="N67" s="71" t="inlineStr">
        <is>
          <t>1</t>
        </is>
      </c>
      <c r="O67" s="71" t="n">
        <v>3</v>
      </c>
      <c r="P67" s="71" t="n">
        <v>0</v>
      </c>
      <c r="Q67" s="71" t="inlineStr">
        <is>
          <t>1</t>
        </is>
      </c>
      <c r="R67" s="71" t="n">
        <v>2</v>
      </c>
      <c r="S67" s="71" t="n">
        <v>0</v>
      </c>
    </row>
    <row r="68">
      <c r="A68" s="69">
        <f>Partite!$A68</f>
        <v/>
      </c>
      <c r="B68" s="25">
        <f>Partite!$B68</f>
        <v/>
      </c>
      <c r="C68" s="70">
        <f>IF(Partite!$E68="","",Partite!$E68)</f>
        <v/>
      </c>
      <c r="D68" s="70">
        <f>IF(Partite!$F68="","",Partite!$F68)</f>
        <v/>
      </c>
      <c r="E68" s="71" t="inlineStr">
        <is>
          <t>1</t>
        </is>
      </c>
      <c r="F68" s="71" t="n">
        <v>3</v>
      </c>
      <c r="G68" s="71" t="n">
        <v>1</v>
      </c>
      <c r="H68" s="71" t="inlineStr">
        <is>
          <t>1</t>
        </is>
      </c>
      <c r="I68" s="71" t="n">
        <v>3</v>
      </c>
      <c r="J68" s="71" t="n">
        <v>1</v>
      </c>
      <c r="K68" s="71" t="inlineStr">
        <is>
          <t>1</t>
        </is>
      </c>
      <c r="L68" s="71" t="n">
        <v>2</v>
      </c>
      <c r="M68" s="71" t="n">
        <v>0</v>
      </c>
      <c r="N68" s="71" t="inlineStr">
        <is>
          <t>1</t>
        </is>
      </c>
      <c r="O68" s="71" t="n">
        <v>2</v>
      </c>
      <c r="P68" s="71" t="n">
        <v>0</v>
      </c>
      <c r="Q68" s="71" t="inlineStr">
        <is>
          <t>1</t>
        </is>
      </c>
      <c r="R68" s="71" t="n">
        <v>2</v>
      </c>
      <c r="S68" s="71" t="n">
        <v>0</v>
      </c>
    </row>
    <row r="69">
      <c r="A69" s="69">
        <f>Partite!$A69</f>
        <v/>
      </c>
      <c r="B69" s="25">
        <f>Partite!$B69</f>
        <v/>
      </c>
      <c r="C69" s="70">
        <f>IF(Partite!$E69="","",Partite!$E69)</f>
        <v/>
      </c>
      <c r="D69" s="70">
        <f>IF(Partite!$F69="","",Partite!$F69)</f>
        <v/>
      </c>
      <c r="E69" s="71" t="inlineStr">
        <is>
          <t>1</t>
        </is>
      </c>
      <c r="F69" s="71" t="n">
        <v>3</v>
      </c>
      <c r="G69" s="71" t="n">
        <v>2</v>
      </c>
      <c r="H69" s="71" t="inlineStr">
        <is>
          <t>2</t>
        </is>
      </c>
      <c r="I69" s="71" t="n">
        <v>1</v>
      </c>
      <c r="J69" s="71" t="n">
        <v>2</v>
      </c>
      <c r="K69" s="71" t="inlineStr">
        <is>
          <t>1</t>
        </is>
      </c>
      <c r="L69" s="71" t="n">
        <v>2</v>
      </c>
      <c r="M69" s="71" t="n">
        <v>1</v>
      </c>
      <c r="N69" s="71" t="inlineStr">
        <is>
          <t>X</t>
        </is>
      </c>
      <c r="O69" s="71" t="n">
        <v>2</v>
      </c>
      <c r="P69" s="71" t="n">
        <v>2</v>
      </c>
      <c r="Q69" s="71" t="inlineStr">
        <is>
          <t>1</t>
        </is>
      </c>
      <c r="R69" s="71" t="n">
        <v>2</v>
      </c>
      <c r="S69" s="71" t="n">
        <v>1</v>
      </c>
    </row>
    <row r="70">
      <c r="A70" s="69">
        <f>Partite!$A70</f>
        <v/>
      </c>
      <c r="B70" s="25">
        <f>Partite!$B70</f>
        <v/>
      </c>
      <c r="C70" s="70">
        <f>IF(Partite!$E70="","",Partite!$E70)</f>
        <v/>
      </c>
      <c r="D70" s="70">
        <f>IF(Partite!$F70="","",Partite!$F70)</f>
        <v/>
      </c>
      <c r="E70" s="71" t="inlineStr">
        <is>
          <t>X</t>
        </is>
      </c>
      <c r="F70" s="71" t="n">
        <v>1</v>
      </c>
      <c r="G70" s="71" t="n">
        <v>1</v>
      </c>
      <c r="H70" s="71" t="inlineStr">
        <is>
          <t>X</t>
        </is>
      </c>
      <c r="I70" s="71" t="n">
        <v>1</v>
      </c>
      <c r="J70" s="71" t="n">
        <v>1</v>
      </c>
      <c r="K70" s="71" t="inlineStr">
        <is>
          <t>1</t>
        </is>
      </c>
      <c r="L70" s="71" t="n">
        <v>2</v>
      </c>
      <c r="M70" s="71" t="n">
        <v>0</v>
      </c>
      <c r="N70" s="71" t="inlineStr">
        <is>
          <t>X</t>
        </is>
      </c>
      <c r="O70" s="71" t="n">
        <v>1</v>
      </c>
      <c r="P70" s="71" t="n">
        <v>1</v>
      </c>
      <c r="Q70" s="71" t="inlineStr">
        <is>
          <t>X</t>
        </is>
      </c>
      <c r="R70" s="71" t="n">
        <v>1</v>
      </c>
      <c r="S70" s="71" t="n">
        <v>1</v>
      </c>
    </row>
    <row r="71">
      <c r="A71" s="69">
        <f>Partite!$A71</f>
        <v/>
      </c>
      <c r="B71" s="25">
        <f>Partite!$B71</f>
        <v/>
      </c>
      <c r="C71" s="70">
        <f>IF(Partite!$E71="","",Partite!$E71)</f>
        <v/>
      </c>
      <c r="D71" s="70">
        <f>IF(Partite!$F71="","",Partite!$F71)</f>
        <v/>
      </c>
      <c r="E71" s="71" t="inlineStr">
        <is>
          <t>2</t>
        </is>
      </c>
      <c r="F71" s="71" t="n">
        <v>0</v>
      </c>
      <c r="G71" s="71" t="n">
        <v>2</v>
      </c>
      <c r="H71" s="71" t="inlineStr">
        <is>
          <t>2</t>
        </is>
      </c>
      <c r="I71" s="71" t="n">
        <v>0</v>
      </c>
      <c r="J71" s="71" t="n">
        <v>3</v>
      </c>
      <c r="K71" s="71" t="inlineStr">
        <is>
          <t>2</t>
        </is>
      </c>
      <c r="L71" s="71" t="n">
        <v>0</v>
      </c>
      <c r="M71" s="71" t="n">
        <v>2</v>
      </c>
      <c r="N71" s="71" t="inlineStr">
        <is>
          <t>2</t>
        </is>
      </c>
      <c r="O71" s="71" t="n">
        <v>0</v>
      </c>
      <c r="P71" s="71" t="n">
        <v>2</v>
      </c>
      <c r="Q71" s="71" t="inlineStr">
        <is>
          <t>2</t>
        </is>
      </c>
      <c r="R71" s="71" t="n">
        <v>0</v>
      </c>
      <c r="S71" s="71" t="n">
        <v>2</v>
      </c>
    </row>
    <row r="72">
      <c r="A72" s="69">
        <f>Partite!$A72</f>
        <v/>
      </c>
      <c r="B72" s="25">
        <f>Partite!$B72</f>
        <v/>
      </c>
      <c r="C72" s="70">
        <f>IF(Partite!$E72="","",Partite!$E72)</f>
        <v/>
      </c>
      <c r="D72" s="70">
        <f>IF(Partite!$F72="","",Partite!$F72)</f>
        <v/>
      </c>
      <c r="E72" s="71" t="inlineStr">
        <is>
          <t>X</t>
        </is>
      </c>
      <c r="F72" s="71" t="n">
        <v>1</v>
      </c>
      <c r="G72" s="71" t="n">
        <v>1</v>
      </c>
      <c r="H72" s="71" t="inlineStr">
        <is>
          <t>X</t>
        </is>
      </c>
      <c r="I72" s="71" t="n">
        <v>2</v>
      </c>
      <c r="J72" s="71" t="n">
        <v>2</v>
      </c>
      <c r="K72" s="71" t="inlineStr">
        <is>
          <t>2</t>
        </is>
      </c>
      <c r="L72" s="71" t="n">
        <v>1</v>
      </c>
      <c r="M72" s="71" t="n">
        <v>2</v>
      </c>
      <c r="N72" s="71" t="inlineStr">
        <is>
          <t>2</t>
        </is>
      </c>
      <c r="O72" s="71" t="n">
        <v>1</v>
      </c>
      <c r="P72" s="71" t="n">
        <v>3</v>
      </c>
      <c r="Q72" s="71" t="inlineStr">
        <is>
          <t>X</t>
        </is>
      </c>
      <c r="R72" s="71" t="n">
        <v>2</v>
      </c>
      <c r="S72" s="71" t="n">
        <v>2</v>
      </c>
    </row>
    <row r="73">
      <c r="A73" s="74">
        <f>Partite!$A73</f>
        <v/>
      </c>
      <c r="B73" s="30">
        <f>Partite!$B73</f>
        <v/>
      </c>
      <c r="C73" s="75">
        <f>IF(Partite!$E73="","",Partite!$E73)</f>
        <v/>
      </c>
      <c r="D73" s="75">
        <f>IF(Partite!$F73="","",Partite!$F73)</f>
        <v/>
      </c>
      <c r="E73" s="71" t="n"/>
      <c r="F73" s="71" t="n"/>
      <c r="G73" s="71" t="n"/>
      <c r="H73" s="71" t="n"/>
      <c r="I73" s="71" t="n"/>
      <c r="J73" s="71" t="n"/>
      <c r="K73" s="71" t="n"/>
      <c r="L73" s="71" t="n"/>
      <c r="M73" s="71" t="n"/>
      <c r="N73" s="71" t="n"/>
      <c r="O73" s="71" t="n"/>
      <c r="P73" s="71" t="n"/>
      <c r="Q73" s="71" t="n"/>
      <c r="R73" s="71" t="n"/>
      <c r="S73" s="71" t="n"/>
    </row>
    <row r="74">
      <c r="A74" s="74">
        <f>Partite!$A74</f>
        <v/>
      </c>
      <c r="B74" s="30">
        <f>Partite!$B74</f>
        <v/>
      </c>
      <c r="C74" s="75">
        <f>IF(Partite!$E74="","",Partite!$E74)</f>
        <v/>
      </c>
      <c r="D74" s="75">
        <f>IF(Partite!$F74="","",Partite!$F74)</f>
        <v/>
      </c>
      <c r="E74" s="71" t="n"/>
      <c r="F74" s="71" t="n"/>
      <c r="G74" s="71" t="n"/>
      <c r="H74" s="71" t="n"/>
      <c r="I74" s="71" t="n"/>
      <c r="J74" s="71" t="n"/>
      <c r="K74" s="71" t="n"/>
      <c r="L74" s="71" t="n"/>
      <c r="M74" s="71" t="n"/>
      <c r="N74" s="71" t="n"/>
      <c r="O74" s="71" t="n"/>
      <c r="P74" s="71" t="n"/>
      <c r="Q74" s="71" t="n"/>
      <c r="R74" s="71" t="n"/>
      <c r="S74" s="71" t="n"/>
    </row>
    <row r="75">
      <c r="A75" s="74">
        <f>Partite!$A75</f>
        <v/>
      </c>
      <c r="B75" s="30">
        <f>Partite!$B75</f>
        <v/>
      </c>
      <c r="C75" s="75">
        <f>IF(Partite!$E75="","",Partite!$E75)</f>
        <v/>
      </c>
      <c r="D75" s="75">
        <f>IF(Partite!$F75="","",Partite!$F75)</f>
        <v/>
      </c>
      <c r="E75" s="71" t="n"/>
      <c r="F75" s="71" t="n"/>
      <c r="G75" s="71" t="n"/>
      <c r="H75" s="71" t="n"/>
      <c r="I75" s="71" t="n"/>
      <c r="J75" s="71" t="n"/>
      <c r="K75" s="71" t="n"/>
      <c r="L75" s="71" t="n"/>
      <c r="M75" s="71" t="n"/>
      <c r="N75" s="71" t="n"/>
      <c r="O75" s="71" t="n"/>
      <c r="P75" s="71" t="n"/>
      <c r="Q75" s="71" t="n"/>
      <c r="R75" s="71" t="n"/>
      <c r="S75" s="71" t="n"/>
    </row>
    <row r="76">
      <c r="A76" s="74">
        <f>Partite!$A76</f>
        <v/>
      </c>
      <c r="B76" s="30">
        <f>Partite!$B76</f>
        <v/>
      </c>
      <c r="C76" s="75">
        <f>IF(Partite!$E76="","",Partite!$E76)</f>
        <v/>
      </c>
      <c r="D76" s="75">
        <f>IF(Partite!$F76="","",Partite!$F76)</f>
        <v/>
      </c>
      <c r="E76" s="71" t="n"/>
      <c r="F76" s="71" t="n"/>
      <c r="G76" s="71" t="n"/>
      <c r="H76" s="71" t="n"/>
      <c r="I76" s="71" t="n"/>
      <c r="J76" s="71" t="n"/>
      <c r="K76" s="71" t="n"/>
      <c r="L76" s="71" t="n"/>
      <c r="M76" s="71" t="n"/>
      <c r="N76" s="71" t="n"/>
      <c r="O76" s="71" t="n"/>
      <c r="P76" s="71" t="n"/>
      <c r="Q76" s="71" t="n"/>
      <c r="R76" s="71" t="n"/>
      <c r="S76" s="71" t="n"/>
    </row>
    <row r="77">
      <c r="A77" s="74">
        <f>Partite!$A77</f>
        <v/>
      </c>
      <c r="B77" s="30">
        <f>Partite!$B77</f>
        <v/>
      </c>
      <c r="C77" s="75">
        <f>IF(Partite!$E77="","",Partite!$E77)</f>
        <v/>
      </c>
      <c r="D77" s="75">
        <f>IF(Partite!$F77="","",Partite!$F77)</f>
        <v/>
      </c>
      <c r="E77" s="71" t="n"/>
      <c r="F77" s="71" t="n"/>
      <c r="G77" s="71" t="n"/>
      <c r="H77" s="71" t="n"/>
      <c r="I77" s="71" t="n"/>
      <c r="J77" s="71" t="n"/>
      <c r="K77" s="71" t="n"/>
      <c r="L77" s="71" t="n"/>
      <c r="M77" s="71" t="n"/>
      <c r="N77" s="71" t="n"/>
      <c r="O77" s="71" t="n"/>
      <c r="P77" s="71" t="n"/>
      <c r="Q77" s="71" t="n"/>
      <c r="R77" s="71" t="n"/>
      <c r="S77" s="71" t="n"/>
    </row>
    <row r="78">
      <c r="A78" s="74">
        <f>Partite!$A78</f>
        <v/>
      </c>
      <c r="B78" s="30">
        <f>Partite!$B78</f>
        <v/>
      </c>
      <c r="C78" s="75">
        <f>IF(Partite!$E78="","",Partite!$E78)</f>
        <v/>
      </c>
      <c r="D78" s="75">
        <f>IF(Partite!$F78="","",Partite!$F78)</f>
        <v/>
      </c>
      <c r="E78" s="71" t="n"/>
      <c r="F78" s="71" t="n"/>
      <c r="G78" s="71" t="n"/>
      <c r="H78" s="71" t="n"/>
      <c r="I78" s="71" t="n"/>
      <c r="J78" s="71" t="n"/>
      <c r="K78" s="71" t="n"/>
      <c r="L78" s="71" t="n"/>
      <c r="M78" s="71" t="n"/>
      <c r="N78" s="71" t="n"/>
      <c r="O78" s="71" t="n"/>
      <c r="P78" s="71" t="n"/>
      <c r="Q78" s="71" t="n"/>
      <c r="R78" s="71" t="n"/>
      <c r="S78" s="71" t="n"/>
    </row>
    <row r="79">
      <c r="A79" s="74">
        <f>Partite!$A79</f>
        <v/>
      </c>
      <c r="B79" s="30">
        <f>Partite!$B79</f>
        <v/>
      </c>
      <c r="C79" s="75">
        <f>IF(Partite!$E79="","",Partite!$E79)</f>
        <v/>
      </c>
      <c r="D79" s="75">
        <f>IF(Partite!$F79="","",Partite!$F79)</f>
        <v/>
      </c>
      <c r="E79" s="71" t="n"/>
      <c r="F79" s="71" t="n"/>
      <c r="G79" s="71" t="n"/>
      <c r="H79" s="71" t="n"/>
      <c r="I79" s="71" t="n"/>
      <c r="J79" s="71" t="n"/>
      <c r="K79" s="71" t="n"/>
      <c r="L79" s="71" t="n"/>
      <c r="M79" s="71" t="n"/>
      <c r="N79" s="71" t="n"/>
      <c r="O79" s="71" t="n"/>
      <c r="P79" s="71" t="n"/>
      <c r="Q79" s="71" t="n"/>
      <c r="R79" s="71" t="n"/>
      <c r="S79" s="71" t="n"/>
    </row>
    <row r="80">
      <c r="A80" s="74">
        <f>Partite!$A80</f>
        <v/>
      </c>
      <c r="B80" s="30">
        <f>Partite!$B80</f>
        <v/>
      </c>
      <c r="C80" s="75">
        <f>IF(Partite!$E80="","",Partite!$E80)</f>
        <v/>
      </c>
      <c r="D80" s="75">
        <f>IF(Partite!$F80="","",Partite!$F80)</f>
        <v/>
      </c>
      <c r="E80" s="71" t="n"/>
      <c r="F80" s="71" t="n"/>
      <c r="G80" s="71" t="n"/>
      <c r="H80" s="71" t="n"/>
      <c r="I80" s="71" t="n"/>
      <c r="J80" s="71" t="n"/>
      <c r="K80" s="71" t="n"/>
      <c r="L80" s="71" t="n"/>
      <c r="M80" s="71" t="n"/>
      <c r="N80" s="71" t="n"/>
      <c r="O80" s="71" t="n"/>
      <c r="P80" s="71" t="n"/>
      <c r="Q80" s="71" t="n"/>
      <c r="R80" s="71" t="n"/>
      <c r="S80" s="71" t="n"/>
    </row>
    <row r="81">
      <c r="A81" s="74">
        <f>Partite!$A81</f>
        <v/>
      </c>
      <c r="B81" s="30">
        <f>Partite!$B81</f>
        <v/>
      </c>
      <c r="C81" s="75">
        <f>IF(Partite!$E81="","",Partite!$E81)</f>
        <v/>
      </c>
      <c r="D81" s="75">
        <f>IF(Partite!$F81="","",Partite!$F81)</f>
        <v/>
      </c>
      <c r="E81" s="71" t="n"/>
      <c r="F81" s="71" t="n"/>
      <c r="G81" s="71" t="n"/>
      <c r="H81" s="71" t="n"/>
      <c r="I81" s="71" t="n"/>
      <c r="J81" s="71" t="n"/>
      <c r="K81" s="71" t="n"/>
      <c r="L81" s="71" t="n"/>
      <c r="M81" s="71" t="n"/>
      <c r="N81" s="71" t="n"/>
      <c r="O81" s="71" t="n"/>
      <c r="P81" s="71" t="n"/>
      <c r="Q81" s="71" t="n"/>
      <c r="R81" s="71" t="n"/>
      <c r="S81" s="71" t="n"/>
    </row>
    <row r="82">
      <c r="A82" s="74">
        <f>Partite!$A82</f>
        <v/>
      </c>
      <c r="B82" s="30">
        <f>Partite!$B82</f>
        <v/>
      </c>
      <c r="C82" s="75">
        <f>IF(Partite!$E82="","",Partite!$E82)</f>
        <v/>
      </c>
      <c r="D82" s="75">
        <f>IF(Partite!$F82="","",Partite!$F82)</f>
        <v/>
      </c>
      <c r="E82" s="71" t="n"/>
      <c r="F82" s="71" t="n"/>
      <c r="G82" s="71" t="n"/>
      <c r="H82" s="71" t="n"/>
      <c r="I82" s="71" t="n"/>
      <c r="J82" s="71" t="n"/>
      <c r="K82" s="71" t="n"/>
      <c r="L82" s="71" t="n"/>
      <c r="M82" s="71" t="n"/>
      <c r="N82" s="71" t="n"/>
      <c r="O82" s="71" t="n"/>
      <c r="P82" s="71" t="n"/>
      <c r="Q82" s="71" t="n"/>
      <c r="R82" s="71" t="n"/>
      <c r="S82" s="71" t="n"/>
    </row>
  </sheetData>
  <autoFilter ref="A2:D82"/>
  <mergeCells count="6">
    <mergeCell ref="H1:J1"/>
    <mergeCell ref="A1:D1"/>
    <mergeCell ref="N1:P1"/>
    <mergeCell ref="Q1:S1"/>
    <mergeCell ref="E1:G1"/>
    <mergeCell ref="K1:M1"/>
  </mergeCells>
  <dataValidations count="1">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showDropDown="0" showInputMessage="0" showErrorMessage="1" allowBlank="1" errorTitle="Segno non valido" error="Scrivi 1 (vince la casa), X (pareggio) oppure 2 (vince l'ospite)." type="list">
      <formula1>"1,X,2"</formula1>
    </dataValidation>
  </dataValidations>
  <pageMargins left="0.75" right="0.75" top="1" bottom="1" header="0.5" footer="0.5"/>
</worksheet>
</file>

<file path=xl/worksheets/sheet4.xml><?xml version="1.0" encoding="utf-8"?>
<worksheet xmlns="http://schemas.openxmlformats.org/spreadsheetml/2006/main">
  <sheetPr>
    <tabColor rgb="008A94A6"/>
    <outlinePr summaryBelow="1" summaryRight="1"/>
    <pageSetUpPr/>
  </sheetPr>
  <dimension ref="A1:N82"/>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8" customWidth="1" min="3" max="3"/>
    <col width="12" customWidth="1" min="4" max="4"/>
    <col width="12" customWidth="1" min="5" max="5"/>
    <col width="12" customWidth="1" min="6" max="6"/>
    <col width="12" customWidth="1" min="7" max="7"/>
    <col width="12" customWidth="1" min="8" max="8"/>
    <col width="9" customWidth="1" min="10" max="10"/>
    <col width="9" customWidth="1" min="11" max="11"/>
    <col width="9" customWidth="1" min="12" max="12"/>
    <col width="9" customWidth="1" min="13" max="13"/>
    <col width="9" customWidth="1" min="14" max="14"/>
  </cols>
  <sheetData>
    <row r="1" ht="22" customHeight="1">
      <c r="A1" s="65" t="inlineStr">
        <is>
          <t xml:space="preserve">  PUNTI PER PARTITA - tutto calcolato, non scrivere qui</t>
        </is>
      </c>
      <c r="B1" s="2" t="n"/>
      <c r="C1" s="2" t="n"/>
      <c r="D1" s="2" t="n"/>
      <c r="E1" s="2" t="n"/>
      <c r="F1" s="2" t="n"/>
      <c r="G1" s="2" t="n"/>
      <c r="H1" s="2" t="n"/>
      <c r="J1" s="35" t="inlineStr">
        <is>
          <t>servizio: il segno effettivo di ognuno, dichiarato o dedotto dal punteggio.</t>
        </is>
      </c>
    </row>
    <row r="2">
      <c r="A2" s="38" t="inlineStr">
        <is>
          <t>ID</t>
        </is>
      </c>
      <c r="B2" s="38" t="inlineStr">
        <is>
          <t>G.</t>
        </is>
      </c>
      <c r="C2" s="38" t="inlineStr">
        <is>
          <t>Partita</t>
        </is>
      </c>
      <c r="D2" s="52">
        <f>Config!$A$6</f>
        <v/>
      </c>
      <c r="E2" s="53">
        <f>Config!$A$7</f>
        <v/>
      </c>
      <c r="F2" s="54">
        <f>Config!$A$8</f>
        <v/>
      </c>
      <c r="G2" s="55">
        <f>Config!$A$9</f>
        <v/>
      </c>
      <c r="H2" s="56">
        <f>Config!$A$10</f>
        <v/>
      </c>
      <c r="J2" s="60">
        <f>Config!$A$6</f>
        <v/>
      </c>
      <c r="K2" s="60">
        <f>Config!$A$7</f>
        <v/>
      </c>
      <c r="L2" s="60">
        <f>Config!$A$8</f>
        <v/>
      </c>
      <c r="M2" s="60">
        <f>Config!$A$9</f>
        <v/>
      </c>
      <c r="N2" s="60">
        <f>Config!$A$10</f>
        <v/>
      </c>
    </row>
    <row r="3">
      <c r="A3" s="69">
        <f>Partite!$A3</f>
        <v/>
      </c>
      <c r="B3" s="25">
        <f>Partite!$B3</f>
        <v/>
      </c>
      <c r="C3" s="43">
        <f>IF(Partite!$E3="","",Partite!$E3&amp;"  -  "&amp;Partite!$F3)</f>
        <v/>
      </c>
      <c r="D3" s="22">
        <f>IF(Partite!$K3&lt;&gt;"Giocata","",IF(AND(Pronostici!$F3&lt;&gt;"",Pronostici!$G3&lt;&gt;"",Pronostici!$F3=Partite!$G3,Pronostici!$G3=Partite!$H3),Config!$D$6,IF(AND($J3&lt;&gt;"",$J3=Partite!$I3),Config!$D$7,Config!$D$8)))</f>
        <v/>
      </c>
      <c r="E3" s="22">
        <f>IF(Partite!$K3&lt;&gt;"Giocata","",IF(AND(Pronostici!$I3&lt;&gt;"",Pronostici!$J3&lt;&gt;"",Pronostici!$I3=Partite!$G3,Pronostici!$J3=Partite!$H3),Config!$D$6,IF(AND($K3&lt;&gt;"",$K3=Partite!$I3),Config!$D$7,Config!$D$8)))</f>
        <v/>
      </c>
      <c r="F3" s="22">
        <f>IF(Partite!$K3&lt;&gt;"Giocata","",IF(AND(Pronostici!$L3&lt;&gt;"",Pronostici!$M3&lt;&gt;"",Pronostici!$L3=Partite!$G3,Pronostici!$M3=Partite!$H3),Config!$D$6,IF(AND($L3&lt;&gt;"",$L3=Partite!$I3),Config!$D$7,Config!$D$8)))</f>
        <v/>
      </c>
      <c r="G3" s="22">
        <f>IF(Partite!$K3&lt;&gt;"Giocata","",IF(AND(Pronostici!$O3&lt;&gt;"",Pronostici!$P3&lt;&gt;"",Pronostici!$O3=Partite!$G3,Pronostici!$P3=Partite!$H3),Config!$D$6,IF(AND($M3&lt;&gt;"",$M3=Partite!$I3),Config!$D$7,Config!$D$8)))</f>
        <v/>
      </c>
      <c r="H3" s="22">
        <f>IF(Partite!$K3&lt;&gt;"Giocata","",IF(AND(Pronostici!$R3&lt;&gt;"",Pronostici!$S3&lt;&gt;"",Pronostici!$R3=Partite!$G3,Pronostici!$S3=Partite!$H3),Config!$D$6,IF(AND($N3&lt;&gt;"",$N3=Partite!$I3),Config!$D$7,Config!$D$8)))</f>
        <v/>
      </c>
      <c r="J3" s="63">
        <f>IF(Pronostici!$E3&lt;&gt;"",UPPER(Pronostici!$E3),IF(OR(Pronostici!$F3="",Pronostici!$G3=""),"",IF(Pronostici!$F3&gt;Pronostici!$G3,"1",IF(Pronostici!$F3=Pronostici!$G3,"X","2"))))</f>
        <v/>
      </c>
      <c r="K3" s="63">
        <f>IF(Pronostici!$H3&lt;&gt;"",UPPER(Pronostici!$H3),IF(OR(Pronostici!$I3="",Pronostici!$J3=""),"",IF(Pronostici!$I3&gt;Pronostici!$J3,"1",IF(Pronostici!$I3=Pronostici!$J3,"X","2"))))</f>
        <v/>
      </c>
      <c r="L3" s="63">
        <f>IF(Pronostici!$K3&lt;&gt;"",UPPER(Pronostici!$K3),IF(OR(Pronostici!$L3="",Pronostici!$M3=""),"",IF(Pronostici!$L3&gt;Pronostici!$M3,"1",IF(Pronostici!$L3=Pronostici!$M3,"X","2"))))</f>
        <v/>
      </c>
      <c r="M3" s="63">
        <f>IF(Pronostici!$N3&lt;&gt;"",UPPER(Pronostici!$N3),IF(OR(Pronostici!$O3="",Pronostici!$P3=""),"",IF(Pronostici!$O3&gt;Pronostici!$P3,"1",IF(Pronostici!$O3=Pronostici!$P3,"X","2"))))</f>
        <v/>
      </c>
      <c r="N3" s="63">
        <f>IF(Pronostici!$Q3&lt;&gt;"",UPPER(Pronostici!$Q3),IF(OR(Pronostici!$R3="",Pronostici!$S3=""),"",IF(Pronostici!$R3&gt;Pronostici!$S3,"1",IF(Pronostici!$R3=Pronostici!$S3,"X","2"))))</f>
        <v/>
      </c>
    </row>
    <row r="4">
      <c r="A4" s="69">
        <f>Partite!$A4</f>
        <v/>
      </c>
      <c r="B4" s="25">
        <f>Partite!$B4</f>
        <v/>
      </c>
      <c r="C4" s="43">
        <f>IF(Partite!$E4="","",Partite!$E4&amp;"  -  "&amp;Partite!$F4)</f>
        <v/>
      </c>
      <c r="D4" s="22">
        <f>IF(Partite!$K4&lt;&gt;"Giocata","",IF(AND(Pronostici!$F4&lt;&gt;"",Pronostici!$G4&lt;&gt;"",Pronostici!$F4=Partite!$G4,Pronostici!$G4=Partite!$H4),Config!$D$6,IF(AND($J4&lt;&gt;"",$J4=Partite!$I4),Config!$D$7,Config!$D$8)))</f>
        <v/>
      </c>
      <c r="E4" s="22">
        <f>IF(Partite!$K4&lt;&gt;"Giocata","",IF(AND(Pronostici!$I4&lt;&gt;"",Pronostici!$J4&lt;&gt;"",Pronostici!$I4=Partite!$G4,Pronostici!$J4=Partite!$H4),Config!$D$6,IF(AND($K4&lt;&gt;"",$K4=Partite!$I4),Config!$D$7,Config!$D$8)))</f>
        <v/>
      </c>
      <c r="F4" s="22">
        <f>IF(Partite!$K4&lt;&gt;"Giocata","",IF(AND(Pronostici!$L4&lt;&gt;"",Pronostici!$M4&lt;&gt;"",Pronostici!$L4=Partite!$G4,Pronostici!$M4=Partite!$H4),Config!$D$6,IF(AND($L4&lt;&gt;"",$L4=Partite!$I4),Config!$D$7,Config!$D$8)))</f>
        <v/>
      </c>
      <c r="G4" s="22">
        <f>IF(Partite!$K4&lt;&gt;"Giocata","",IF(AND(Pronostici!$O4&lt;&gt;"",Pronostici!$P4&lt;&gt;"",Pronostici!$O4=Partite!$G4,Pronostici!$P4=Partite!$H4),Config!$D$6,IF(AND($M4&lt;&gt;"",$M4=Partite!$I4),Config!$D$7,Config!$D$8)))</f>
        <v/>
      </c>
      <c r="H4" s="22">
        <f>IF(Partite!$K4&lt;&gt;"Giocata","",IF(AND(Pronostici!$R4&lt;&gt;"",Pronostici!$S4&lt;&gt;"",Pronostici!$R4=Partite!$G4,Pronostici!$S4=Partite!$H4),Config!$D$6,IF(AND($N4&lt;&gt;"",$N4=Partite!$I4),Config!$D$7,Config!$D$8)))</f>
        <v/>
      </c>
      <c r="J4" s="63">
        <f>IF(Pronostici!$E4&lt;&gt;"",UPPER(Pronostici!$E4),IF(OR(Pronostici!$F4="",Pronostici!$G4=""),"",IF(Pronostici!$F4&gt;Pronostici!$G4,"1",IF(Pronostici!$F4=Pronostici!$G4,"X","2"))))</f>
        <v/>
      </c>
      <c r="K4" s="63">
        <f>IF(Pronostici!$H4&lt;&gt;"",UPPER(Pronostici!$H4),IF(OR(Pronostici!$I4="",Pronostici!$J4=""),"",IF(Pronostici!$I4&gt;Pronostici!$J4,"1",IF(Pronostici!$I4=Pronostici!$J4,"X","2"))))</f>
        <v/>
      </c>
      <c r="L4" s="63">
        <f>IF(Pronostici!$K4&lt;&gt;"",UPPER(Pronostici!$K4),IF(OR(Pronostici!$L4="",Pronostici!$M4=""),"",IF(Pronostici!$L4&gt;Pronostici!$M4,"1",IF(Pronostici!$L4=Pronostici!$M4,"X","2"))))</f>
        <v/>
      </c>
      <c r="M4" s="63">
        <f>IF(Pronostici!$N4&lt;&gt;"",UPPER(Pronostici!$N4),IF(OR(Pronostici!$O4="",Pronostici!$P4=""),"",IF(Pronostici!$O4&gt;Pronostici!$P4,"1",IF(Pronostici!$O4=Pronostici!$P4,"X","2"))))</f>
        <v/>
      </c>
      <c r="N4" s="63">
        <f>IF(Pronostici!$Q4&lt;&gt;"",UPPER(Pronostici!$Q4),IF(OR(Pronostici!$R4="",Pronostici!$S4=""),"",IF(Pronostici!$R4&gt;Pronostici!$S4,"1",IF(Pronostici!$R4=Pronostici!$S4,"X","2"))))</f>
        <v/>
      </c>
    </row>
    <row r="5">
      <c r="A5" s="69">
        <f>Partite!$A5</f>
        <v/>
      </c>
      <c r="B5" s="25">
        <f>Partite!$B5</f>
        <v/>
      </c>
      <c r="C5" s="43">
        <f>IF(Partite!$E5="","",Partite!$E5&amp;"  -  "&amp;Partite!$F5)</f>
        <v/>
      </c>
      <c r="D5" s="22">
        <f>IF(Partite!$K5&lt;&gt;"Giocata","",IF(AND(Pronostici!$F5&lt;&gt;"",Pronostici!$G5&lt;&gt;"",Pronostici!$F5=Partite!$G5,Pronostici!$G5=Partite!$H5),Config!$D$6,IF(AND($J5&lt;&gt;"",$J5=Partite!$I5),Config!$D$7,Config!$D$8)))</f>
        <v/>
      </c>
      <c r="E5" s="22">
        <f>IF(Partite!$K5&lt;&gt;"Giocata","",IF(AND(Pronostici!$I5&lt;&gt;"",Pronostici!$J5&lt;&gt;"",Pronostici!$I5=Partite!$G5,Pronostici!$J5=Partite!$H5),Config!$D$6,IF(AND($K5&lt;&gt;"",$K5=Partite!$I5),Config!$D$7,Config!$D$8)))</f>
        <v/>
      </c>
      <c r="F5" s="22">
        <f>IF(Partite!$K5&lt;&gt;"Giocata","",IF(AND(Pronostici!$L5&lt;&gt;"",Pronostici!$M5&lt;&gt;"",Pronostici!$L5=Partite!$G5,Pronostici!$M5=Partite!$H5),Config!$D$6,IF(AND($L5&lt;&gt;"",$L5=Partite!$I5),Config!$D$7,Config!$D$8)))</f>
        <v/>
      </c>
      <c r="G5" s="22">
        <f>IF(Partite!$K5&lt;&gt;"Giocata","",IF(AND(Pronostici!$O5&lt;&gt;"",Pronostici!$P5&lt;&gt;"",Pronostici!$O5=Partite!$G5,Pronostici!$P5=Partite!$H5),Config!$D$6,IF(AND($M5&lt;&gt;"",$M5=Partite!$I5),Config!$D$7,Config!$D$8)))</f>
        <v/>
      </c>
      <c r="H5" s="22">
        <f>IF(Partite!$K5&lt;&gt;"Giocata","",IF(AND(Pronostici!$R5&lt;&gt;"",Pronostici!$S5&lt;&gt;"",Pronostici!$R5=Partite!$G5,Pronostici!$S5=Partite!$H5),Config!$D$6,IF(AND($N5&lt;&gt;"",$N5=Partite!$I5),Config!$D$7,Config!$D$8)))</f>
        <v/>
      </c>
      <c r="J5" s="63">
        <f>IF(Pronostici!$E5&lt;&gt;"",UPPER(Pronostici!$E5),IF(OR(Pronostici!$F5="",Pronostici!$G5=""),"",IF(Pronostici!$F5&gt;Pronostici!$G5,"1",IF(Pronostici!$F5=Pronostici!$G5,"X","2"))))</f>
        <v/>
      </c>
      <c r="K5" s="63">
        <f>IF(Pronostici!$H5&lt;&gt;"",UPPER(Pronostici!$H5),IF(OR(Pronostici!$I5="",Pronostici!$J5=""),"",IF(Pronostici!$I5&gt;Pronostici!$J5,"1",IF(Pronostici!$I5=Pronostici!$J5,"X","2"))))</f>
        <v/>
      </c>
      <c r="L5" s="63">
        <f>IF(Pronostici!$K5&lt;&gt;"",UPPER(Pronostici!$K5),IF(OR(Pronostici!$L5="",Pronostici!$M5=""),"",IF(Pronostici!$L5&gt;Pronostici!$M5,"1",IF(Pronostici!$L5=Pronostici!$M5,"X","2"))))</f>
        <v/>
      </c>
      <c r="M5" s="63">
        <f>IF(Pronostici!$N5&lt;&gt;"",UPPER(Pronostici!$N5),IF(OR(Pronostici!$O5="",Pronostici!$P5=""),"",IF(Pronostici!$O5&gt;Pronostici!$P5,"1",IF(Pronostici!$O5=Pronostici!$P5,"X","2"))))</f>
        <v/>
      </c>
      <c r="N5" s="63">
        <f>IF(Pronostici!$Q5&lt;&gt;"",UPPER(Pronostici!$Q5),IF(OR(Pronostici!$R5="",Pronostici!$S5=""),"",IF(Pronostici!$R5&gt;Pronostici!$S5,"1",IF(Pronostici!$R5=Pronostici!$S5,"X","2"))))</f>
        <v/>
      </c>
    </row>
    <row r="6">
      <c r="A6" s="69">
        <f>Partite!$A6</f>
        <v/>
      </c>
      <c r="B6" s="25">
        <f>Partite!$B6</f>
        <v/>
      </c>
      <c r="C6" s="43">
        <f>IF(Partite!$E6="","",Partite!$E6&amp;"  -  "&amp;Partite!$F6)</f>
        <v/>
      </c>
      <c r="D6" s="22">
        <f>IF(Partite!$K6&lt;&gt;"Giocata","",IF(AND(Pronostici!$F6&lt;&gt;"",Pronostici!$G6&lt;&gt;"",Pronostici!$F6=Partite!$G6,Pronostici!$G6=Partite!$H6),Config!$D$6,IF(AND($J6&lt;&gt;"",$J6=Partite!$I6),Config!$D$7,Config!$D$8)))</f>
        <v/>
      </c>
      <c r="E6" s="22">
        <f>IF(Partite!$K6&lt;&gt;"Giocata","",IF(AND(Pronostici!$I6&lt;&gt;"",Pronostici!$J6&lt;&gt;"",Pronostici!$I6=Partite!$G6,Pronostici!$J6=Partite!$H6),Config!$D$6,IF(AND($K6&lt;&gt;"",$K6=Partite!$I6),Config!$D$7,Config!$D$8)))</f>
        <v/>
      </c>
      <c r="F6" s="22">
        <f>IF(Partite!$K6&lt;&gt;"Giocata","",IF(AND(Pronostici!$L6&lt;&gt;"",Pronostici!$M6&lt;&gt;"",Pronostici!$L6=Partite!$G6,Pronostici!$M6=Partite!$H6),Config!$D$6,IF(AND($L6&lt;&gt;"",$L6=Partite!$I6),Config!$D$7,Config!$D$8)))</f>
        <v/>
      </c>
      <c r="G6" s="22">
        <f>IF(Partite!$K6&lt;&gt;"Giocata","",IF(AND(Pronostici!$O6&lt;&gt;"",Pronostici!$P6&lt;&gt;"",Pronostici!$O6=Partite!$G6,Pronostici!$P6=Partite!$H6),Config!$D$6,IF(AND($M6&lt;&gt;"",$M6=Partite!$I6),Config!$D$7,Config!$D$8)))</f>
        <v/>
      </c>
      <c r="H6" s="22">
        <f>IF(Partite!$K6&lt;&gt;"Giocata","",IF(AND(Pronostici!$R6&lt;&gt;"",Pronostici!$S6&lt;&gt;"",Pronostici!$R6=Partite!$G6,Pronostici!$S6=Partite!$H6),Config!$D$6,IF(AND($N6&lt;&gt;"",$N6=Partite!$I6),Config!$D$7,Config!$D$8)))</f>
        <v/>
      </c>
      <c r="J6" s="63">
        <f>IF(Pronostici!$E6&lt;&gt;"",UPPER(Pronostici!$E6),IF(OR(Pronostici!$F6="",Pronostici!$G6=""),"",IF(Pronostici!$F6&gt;Pronostici!$G6,"1",IF(Pronostici!$F6=Pronostici!$G6,"X","2"))))</f>
        <v/>
      </c>
      <c r="K6" s="63">
        <f>IF(Pronostici!$H6&lt;&gt;"",UPPER(Pronostici!$H6),IF(OR(Pronostici!$I6="",Pronostici!$J6=""),"",IF(Pronostici!$I6&gt;Pronostici!$J6,"1",IF(Pronostici!$I6=Pronostici!$J6,"X","2"))))</f>
        <v/>
      </c>
      <c r="L6" s="63">
        <f>IF(Pronostici!$K6&lt;&gt;"",UPPER(Pronostici!$K6),IF(OR(Pronostici!$L6="",Pronostici!$M6=""),"",IF(Pronostici!$L6&gt;Pronostici!$M6,"1",IF(Pronostici!$L6=Pronostici!$M6,"X","2"))))</f>
        <v/>
      </c>
      <c r="M6" s="63">
        <f>IF(Pronostici!$N6&lt;&gt;"",UPPER(Pronostici!$N6),IF(OR(Pronostici!$O6="",Pronostici!$P6=""),"",IF(Pronostici!$O6&gt;Pronostici!$P6,"1",IF(Pronostici!$O6=Pronostici!$P6,"X","2"))))</f>
        <v/>
      </c>
      <c r="N6" s="63">
        <f>IF(Pronostici!$Q6&lt;&gt;"",UPPER(Pronostici!$Q6),IF(OR(Pronostici!$R6="",Pronostici!$S6=""),"",IF(Pronostici!$R6&gt;Pronostici!$S6,"1",IF(Pronostici!$R6=Pronostici!$S6,"X","2"))))</f>
        <v/>
      </c>
    </row>
    <row r="7">
      <c r="A7" s="69">
        <f>Partite!$A7</f>
        <v/>
      </c>
      <c r="B7" s="25">
        <f>Partite!$B7</f>
        <v/>
      </c>
      <c r="C7" s="43">
        <f>IF(Partite!$E7="","",Partite!$E7&amp;"  -  "&amp;Partite!$F7)</f>
        <v/>
      </c>
      <c r="D7" s="22">
        <f>IF(Partite!$K7&lt;&gt;"Giocata","",IF(AND(Pronostici!$F7&lt;&gt;"",Pronostici!$G7&lt;&gt;"",Pronostici!$F7=Partite!$G7,Pronostici!$G7=Partite!$H7),Config!$D$6,IF(AND($J7&lt;&gt;"",$J7=Partite!$I7),Config!$D$7,Config!$D$8)))</f>
        <v/>
      </c>
      <c r="E7" s="22">
        <f>IF(Partite!$K7&lt;&gt;"Giocata","",IF(AND(Pronostici!$I7&lt;&gt;"",Pronostici!$J7&lt;&gt;"",Pronostici!$I7=Partite!$G7,Pronostici!$J7=Partite!$H7),Config!$D$6,IF(AND($K7&lt;&gt;"",$K7=Partite!$I7),Config!$D$7,Config!$D$8)))</f>
        <v/>
      </c>
      <c r="F7" s="22">
        <f>IF(Partite!$K7&lt;&gt;"Giocata","",IF(AND(Pronostici!$L7&lt;&gt;"",Pronostici!$M7&lt;&gt;"",Pronostici!$L7=Partite!$G7,Pronostici!$M7=Partite!$H7),Config!$D$6,IF(AND($L7&lt;&gt;"",$L7=Partite!$I7),Config!$D$7,Config!$D$8)))</f>
        <v/>
      </c>
      <c r="G7" s="22">
        <f>IF(Partite!$K7&lt;&gt;"Giocata","",IF(AND(Pronostici!$O7&lt;&gt;"",Pronostici!$P7&lt;&gt;"",Pronostici!$O7=Partite!$G7,Pronostici!$P7=Partite!$H7),Config!$D$6,IF(AND($M7&lt;&gt;"",$M7=Partite!$I7),Config!$D$7,Config!$D$8)))</f>
        <v/>
      </c>
      <c r="H7" s="22">
        <f>IF(Partite!$K7&lt;&gt;"Giocata","",IF(AND(Pronostici!$R7&lt;&gt;"",Pronostici!$S7&lt;&gt;"",Pronostici!$R7=Partite!$G7,Pronostici!$S7=Partite!$H7),Config!$D$6,IF(AND($N7&lt;&gt;"",$N7=Partite!$I7),Config!$D$7,Config!$D$8)))</f>
        <v/>
      </c>
      <c r="J7" s="63">
        <f>IF(Pronostici!$E7&lt;&gt;"",UPPER(Pronostici!$E7),IF(OR(Pronostici!$F7="",Pronostici!$G7=""),"",IF(Pronostici!$F7&gt;Pronostici!$G7,"1",IF(Pronostici!$F7=Pronostici!$G7,"X","2"))))</f>
        <v/>
      </c>
      <c r="K7" s="63">
        <f>IF(Pronostici!$H7&lt;&gt;"",UPPER(Pronostici!$H7),IF(OR(Pronostici!$I7="",Pronostici!$J7=""),"",IF(Pronostici!$I7&gt;Pronostici!$J7,"1",IF(Pronostici!$I7=Pronostici!$J7,"X","2"))))</f>
        <v/>
      </c>
      <c r="L7" s="63">
        <f>IF(Pronostici!$K7&lt;&gt;"",UPPER(Pronostici!$K7),IF(OR(Pronostici!$L7="",Pronostici!$M7=""),"",IF(Pronostici!$L7&gt;Pronostici!$M7,"1",IF(Pronostici!$L7=Pronostici!$M7,"X","2"))))</f>
        <v/>
      </c>
      <c r="M7" s="63">
        <f>IF(Pronostici!$N7&lt;&gt;"",UPPER(Pronostici!$N7),IF(OR(Pronostici!$O7="",Pronostici!$P7=""),"",IF(Pronostici!$O7&gt;Pronostici!$P7,"1",IF(Pronostici!$O7=Pronostici!$P7,"X","2"))))</f>
        <v/>
      </c>
      <c r="N7" s="63">
        <f>IF(Pronostici!$Q7&lt;&gt;"",UPPER(Pronostici!$Q7),IF(OR(Pronostici!$R7="",Pronostici!$S7=""),"",IF(Pronostici!$R7&gt;Pronostici!$S7,"1",IF(Pronostici!$R7=Pronostici!$S7,"X","2"))))</f>
        <v/>
      </c>
    </row>
    <row r="8">
      <c r="A8" s="69">
        <f>Partite!$A8</f>
        <v/>
      </c>
      <c r="B8" s="25">
        <f>Partite!$B8</f>
        <v/>
      </c>
      <c r="C8" s="43">
        <f>IF(Partite!$E8="","",Partite!$E8&amp;"  -  "&amp;Partite!$F8)</f>
        <v/>
      </c>
      <c r="D8" s="22">
        <f>IF(Partite!$K8&lt;&gt;"Giocata","",IF(AND(Pronostici!$F8&lt;&gt;"",Pronostici!$G8&lt;&gt;"",Pronostici!$F8=Partite!$G8,Pronostici!$G8=Partite!$H8),Config!$D$6,IF(AND($J8&lt;&gt;"",$J8=Partite!$I8),Config!$D$7,Config!$D$8)))</f>
        <v/>
      </c>
      <c r="E8" s="22">
        <f>IF(Partite!$K8&lt;&gt;"Giocata","",IF(AND(Pronostici!$I8&lt;&gt;"",Pronostici!$J8&lt;&gt;"",Pronostici!$I8=Partite!$G8,Pronostici!$J8=Partite!$H8),Config!$D$6,IF(AND($K8&lt;&gt;"",$K8=Partite!$I8),Config!$D$7,Config!$D$8)))</f>
        <v/>
      </c>
      <c r="F8" s="22">
        <f>IF(Partite!$K8&lt;&gt;"Giocata","",IF(AND(Pronostici!$L8&lt;&gt;"",Pronostici!$M8&lt;&gt;"",Pronostici!$L8=Partite!$G8,Pronostici!$M8=Partite!$H8),Config!$D$6,IF(AND($L8&lt;&gt;"",$L8=Partite!$I8),Config!$D$7,Config!$D$8)))</f>
        <v/>
      </c>
      <c r="G8" s="22">
        <f>IF(Partite!$K8&lt;&gt;"Giocata","",IF(AND(Pronostici!$O8&lt;&gt;"",Pronostici!$P8&lt;&gt;"",Pronostici!$O8=Partite!$G8,Pronostici!$P8=Partite!$H8),Config!$D$6,IF(AND($M8&lt;&gt;"",$M8=Partite!$I8),Config!$D$7,Config!$D$8)))</f>
        <v/>
      </c>
      <c r="H8" s="22">
        <f>IF(Partite!$K8&lt;&gt;"Giocata","",IF(AND(Pronostici!$R8&lt;&gt;"",Pronostici!$S8&lt;&gt;"",Pronostici!$R8=Partite!$G8,Pronostici!$S8=Partite!$H8),Config!$D$6,IF(AND($N8&lt;&gt;"",$N8=Partite!$I8),Config!$D$7,Config!$D$8)))</f>
        <v/>
      </c>
      <c r="J8" s="63">
        <f>IF(Pronostici!$E8&lt;&gt;"",UPPER(Pronostici!$E8),IF(OR(Pronostici!$F8="",Pronostici!$G8=""),"",IF(Pronostici!$F8&gt;Pronostici!$G8,"1",IF(Pronostici!$F8=Pronostici!$G8,"X","2"))))</f>
        <v/>
      </c>
      <c r="K8" s="63">
        <f>IF(Pronostici!$H8&lt;&gt;"",UPPER(Pronostici!$H8),IF(OR(Pronostici!$I8="",Pronostici!$J8=""),"",IF(Pronostici!$I8&gt;Pronostici!$J8,"1",IF(Pronostici!$I8=Pronostici!$J8,"X","2"))))</f>
        <v/>
      </c>
      <c r="L8" s="63">
        <f>IF(Pronostici!$K8&lt;&gt;"",UPPER(Pronostici!$K8),IF(OR(Pronostici!$L8="",Pronostici!$M8=""),"",IF(Pronostici!$L8&gt;Pronostici!$M8,"1",IF(Pronostici!$L8=Pronostici!$M8,"X","2"))))</f>
        <v/>
      </c>
      <c r="M8" s="63">
        <f>IF(Pronostici!$N8&lt;&gt;"",UPPER(Pronostici!$N8),IF(OR(Pronostici!$O8="",Pronostici!$P8=""),"",IF(Pronostici!$O8&gt;Pronostici!$P8,"1",IF(Pronostici!$O8=Pronostici!$P8,"X","2"))))</f>
        <v/>
      </c>
      <c r="N8" s="63">
        <f>IF(Pronostici!$Q8&lt;&gt;"",UPPER(Pronostici!$Q8),IF(OR(Pronostici!$R8="",Pronostici!$S8=""),"",IF(Pronostici!$R8&gt;Pronostici!$S8,"1",IF(Pronostici!$R8=Pronostici!$S8,"X","2"))))</f>
        <v/>
      </c>
    </row>
    <row r="9">
      <c r="A9" s="69">
        <f>Partite!$A9</f>
        <v/>
      </c>
      <c r="B9" s="25">
        <f>Partite!$B9</f>
        <v/>
      </c>
      <c r="C9" s="43">
        <f>IF(Partite!$E9="","",Partite!$E9&amp;"  -  "&amp;Partite!$F9)</f>
        <v/>
      </c>
      <c r="D9" s="22">
        <f>IF(Partite!$K9&lt;&gt;"Giocata","",IF(AND(Pronostici!$F9&lt;&gt;"",Pronostici!$G9&lt;&gt;"",Pronostici!$F9=Partite!$G9,Pronostici!$G9=Partite!$H9),Config!$D$6,IF(AND($J9&lt;&gt;"",$J9=Partite!$I9),Config!$D$7,Config!$D$8)))</f>
        <v/>
      </c>
      <c r="E9" s="22">
        <f>IF(Partite!$K9&lt;&gt;"Giocata","",IF(AND(Pronostici!$I9&lt;&gt;"",Pronostici!$J9&lt;&gt;"",Pronostici!$I9=Partite!$G9,Pronostici!$J9=Partite!$H9),Config!$D$6,IF(AND($K9&lt;&gt;"",$K9=Partite!$I9),Config!$D$7,Config!$D$8)))</f>
        <v/>
      </c>
      <c r="F9" s="22">
        <f>IF(Partite!$K9&lt;&gt;"Giocata","",IF(AND(Pronostici!$L9&lt;&gt;"",Pronostici!$M9&lt;&gt;"",Pronostici!$L9=Partite!$G9,Pronostici!$M9=Partite!$H9),Config!$D$6,IF(AND($L9&lt;&gt;"",$L9=Partite!$I9),Config!$D$7,Config!$D$8)))</f>
        <v/>
      </c>
      <c r="G9" s="22">
        <f>IF(Partite!$K9&lt;&gt;"Giocata","",IF(AND(Pronostici!$O9&lt;&gt;"",Pronostici!$P9&lt;&gt;"",Pronostici!$O9=Partite!$G9,Pronostici!$P9=Partite!$H9),Config!$D$6,IF(AND($M9&lt;&gt;"",$M9=Partite!$I9),Config!$D$7,Config!$D$8)))</f>
        <v/>
      </c>
      <c r="H9" s="22">
        <f>IF(Partite!$K9&lt;&gt;"Giocata","",IF(AND(Pronostici!$R9&lt;&gt;"",Pronostici!$S9&lt;&gt;"",Pronostici!$R9=Partite!$G9,Pronostici!$S9=Partite!$H9),Config!$D$6,IF(AND($N9&lt;&gt;"",$N9=Partite!$I9),Config!$D$7,Config!$D$8)))</f>
        <v/>
      </c>
      <c r="J9" s="63">
        <f>IF(Pronostici!$E9&lt;&gt;"",UPPER(Pronostici!$E9),IF(OR(Pronostici!$F9="",Pronostici!$G9=""),"",IF(Pronostici!$F9&gt;Pronostici!$G9,"1",IF(Pronostici!$F9=Pronostici!$G9,"X","2"))))</f>
        <v/>
      </c>
      <c r="K9" s="63">
        <f>IF(Pronostici!$H9&lt;&gt;"",UPPER(Pronostici!$H9),IF(OR(Pronostici!$I9="",Pronostici!$J9=""),"",IF(Pronostici!$I9&gt;Pronostici!$J9,"1",IF(Pronostici!$I9=Pronostici!$J9,"X","2"))))</f>
        <v/>
      </c>
      <c r="L9" s="63">
        <f>IF(Pronostici!$K9&lt;&gt;"",UPPER(Pronostici!$K9),IF(OR(Pronostici!$L9="",Pronostici!$M9=""),"",IF(Pronostici!$L9&gt;Pronostici!$M9,"1",IF(Pronostici!$L9=Pronostici!$M9,"X","2"))))</f>
        <v/>
      </c>
      <c r="M9" s="63">
        <f>IF(Pronostici!$N9&lt;&gt;"",UPPER(Pronostici!$N9),IF(OR(Pronostici!$O9="",Pronostici!$P9=""),"",IF(Pronostici!$O9&gt;Pronostici!$P9,"1",IF(Pronostici!$O9=Pronostici!$P9,"X","2"))))</f>
        <v/>
      </c>
      <c r="N9" s="63">
        <f>IF(Pronostici!$Q9&lt;&gt;"",UPPER(Pronostici!$Q9),IF(OR(Pronostici!$R9="",Pronostici!$S9=""),"",IF(Pronostici!$R9&gt;Pronostici!$S9,"1",IF(Pronostici!$R9=Pronostici!$S9,"X","2"))))</f>
        <v/>
      </c>
    </row>
    <row r="10">
      <c r="A10" s="69">
        <f>Partite!$A10</f>
        <v/>
      </c>
      <c r="B10" s="25">
        <f>Partite!$B10</f>
        <v/>
      </c>
      <c r="C10" s="43">
        <f>IF(Partite!$E10="","",Partite!$E10&amp;"  -  "&amp;Partite!$F10)</f>
        <v/>
      </c>
      <c r="D10" s="22">
        <f>IF(Partite!$K10&lt;&gt;"Giocata","",IF(AND(Pronostici!$F10&lt;&gt;"",Pronostici!$G10&lt;&gt;"",Pronostici!$F10=Partite!$G10,Pronostici!$G10=Partite!$H10),Config!$D$6,IF(AND($J10&lt;&gt;"",$J10=Partite!$I10),Config!$D$7,Config!$D$8)))</f>
        <v/>
      </c>
      <c r="E10" s="22">
        <f>IF(Partite!$K10&lt;&gt;"Giocata","",IF(AND(Pronostici!$I10&lt;&gt;"",Pronostici!$J10&lt;&gt;"",Pronostici!$I10=Partite!$G10,Pronostici!$J10=Partite!$H10),Config!$D$6,IF(AND($K10&lt;&gt;"",$K10=Partite!$I10),Config!$D$7,Config!$D$8)))</f>
        <v/>
      </c>
      <c r="F10" s="22">
        <f>IF(Partite!$K10&lt;&gt;"Giocata","",IF(AND(Pronostici!$L10&lt;&gt;"",Pronostici!$M10&lt;&gt;"",Pronostici!$L10=Partite!$G10,Pronostici!$M10=Partite!$H10),Config!$D$6,IF(AND($L10&lt;&gt;"",$L10=Partite!$I10),Config!$D$7,Config!$D$8)))</f>
        <v/>
      </c>
      <c r="G10" s="22">
        <f>IF(Partite!$K10&lt;&gt;"Giocata","",IF(AND(Pronostici!$O10&lt;&gt;"",Pronostici!$P10&lt;&gt;"",Pronostici!$O10=Partite!$G10,Pronostici!$P10=Partite!$H10),Config!$D$6,IF(AND($M10&lt;&gt;"",$M10=Partite!$I10),Config!$D$7,Config!$D$8)))</f>
        <v/>
      </c>
      <c r="H10" s="22">
        <f>IF(Partite!$K10&lt;&gt;"Giocata","",IF(AND(Pronostici!$R10&lt;&gt;"",Pronostici!$S10&lt;&gt;"",Pronostici!$R10=Partite!$G10,Pronostici!$S10=Partite!$H10),Config!$D$6,IF(AND($N10&lt;&gt;"",$N10=Partite!$I10),Config!$D$7,Config!$D$8)))</f>
        <v/>
      </c>
      <c r="J10" s="63">
        <f>IF(Pronostici!$E10&lt;&gt;"",UPPER(Pronostici!$E10),IF(OR(Pronostici!$F10="",Pronostici!$G10=""),"",IF(Pronostici!$F10&gt;Pronostici!$G10,"1",IF(Pronostici!$F10=Pronostici!$G10,"X","2"))))</f>
        <v/>
      </c>
      <c r="K10" s="63">
        <f>IF(Pronostici!$H10&lt;&gt;"",UPPER(Pronostici!$H10),IF(OR(Pronostici!$I10="",Pronostici!$J10=""),"",IF(Pronostici!$I10&gt;Pronostici!$J10,"1",IF(Pronostici!$I10=Pronostici!$J10,"X","2"))))</f>
        <v/>
      </c>
      <c r="L10" s="63">
        <f>IF(Pronostici!$K10&lt;&gt;"",UPPER(Pronostici!$K10),IF(OR(Pronostici!$L10="",Pronostici!$M10=""),"",IF(Pronostici!$L10&gt;Pronostici!$M10,"1",IF(Pronostici!$L10=Pronostici!$M10,"X","2"))))</f>
        <v/>
      </c>
      <c r="M10" s="63">
        <f>IF(Pronostici!$N10&lt;&gt;"",UPPER(Pronostici!$N10),IF(OR(Pronostici!$O10="",Pronostici!$P10=""),"",IF(Pronostici!$O10&gt;Pronostici!$P10,"1",IF(Pronostici!$O10=Pronostici!$P10,"X","2"))))</f>
        <v/>
      </c>
      <c r="N10" s="63">
        <f>IF(Pronostici!$Q10&lt;&gt;"",UPPER(Pronostici!$Q10),IF(OR(Pronostici!$R10="",Pronostici!$S10=""),"",IF(Pronostici!$R10&gt;Pronostici!$S10,"1",IF(Pronostici!$R10=Pronostici!$S10,"X","2"))))</f>
        <v/>
      </c>
    </row>
    <row r="11">
      <c r="A11" s="69">
        <f>Partite!$A11</f>
        <v/>
      </c>
      <c r="B11" s="25">
        <f>Partite!$B11</f>
        <v/>
      </c>
      <c r="C11" s="43">
        <f>IF(Partite!$E11="","",Partite!$E11&amp;"  -  "&amp;Partite!$F11)</f>
        <v/>
      </c>
      <c r="D11" s="22">
        <f>IF(Partite!$K11&lt;&gt;"Giocata","",IF(AND(Pronostici!$F11&lt;&gt;"",Pronostici!$G11&lt;&gt;"",Pronostici!$F11=Partite!$G11,Pronostici!$G11=Partite!$H11),Config!$D$6,IF(AND($J11&lt;&gt;"",$J11=Partite!$I11),Config!$D$7,Config!$D$8)))</f>
        <v/>
      </c>
      <c r="E11" s="22">
        <f>IF(Partite!$K11&lt;&gt;"Giocata","",IF(AND(Pronostici!$I11&lt;&gt;"",Pronostici!$J11&lt;&gt;"",Pronostici!$I11=Partite!$G11,Pronostici!$J11=Partite!$H11),Config!$D$6,IF(AND($K11&lt;&gt;"",$K11=Partite!$I11),Config!$D$7,Config!$D$8)))</f>
        <v/>
      </c>
      <c r="F11" s="22">
        <f>IF(Partite!$K11&lt;&gt;"Giocata","",IF(AND(Pronostici!$L11&lt;&gt;"",Pronostici!$M11&lt;&gt;"",Pronostici!$L11=Partite!$G11,Pronostici!$M11=Partite!$H11),Config!$D$6,IF(AND($L11&lt;&gt;"",$L11=Partite!$I11),Config!$D$7,Config!$D$8)))</f>
        <v/>
      </c>
      <c r="G11" s="22">
        <f>IF(Partite!$K11&lt;&gt;"Giocata","",IF(AND(Pronostici!$O11&lt;&gt;"",Pronostici!$P11&lt;&gt;"",Pronostici!$O11=Partite!$G11,Pronostici!$P11=Partite!$H11),Config!$D$6,IF(AND($M11&lt;&gt;"",$M11=Partite!$I11),Config!$D$7,Config!$D$8)))</f>
        <v/>
      </c>
      <c r="H11" s="22">
        <f>IF(Partite!$K11&lt;&gt;"Giocata","",IF(AND(Pronostici!$R11&lt;&gt;"",Pronostici!$S11&lt;&gt;"",Pronostici!$R11=Partite!$G11,Pronostici!$S11=Partite!$H11),Config!$D$6,IF(AND($N11&lt;&gt;"",$N11=Partite!$I11),Config!$D$7,Config!$D$8)))</f>
        <v/>
      </c>
      <c r="J11" s="63">
        <f>IF(Pronostici!$E11&lt;&gt;"",UPPER(Pronostici!$E11),IF(OR(Pronostici!$F11="",Pronostici!$G11=""),"",IF(Pronostici!$F11&gt;Pronostici!$G11,"1",IF(Pronostici!$F11=Pronostici!$G11,"X","2"))))</f>
        <v/>
      </c>
      <c r="K11" s="63">
        <f>IF(Pronostici!$H11&lt;&gt;"",UPPER(Pronostici!$H11),IF(OR(Pronostici!$I11="",Pronostici!$J11=""),"",IF(Pronostici!$I11&gt;Pronostici!$J11,"1",IF(Pronostici!$I11=Pronostici!$J11,"X","2"))))</f>
        <v/>
      </c>
      <c r="L11" s="63">
        <f>IF(Pronostici!$K11&lt;&gt;"",UPPER(Pronostici!$K11),IF(OR(Pronostici!$L11="",Pronostici!$M11=""),"",IF(Pronostici!$L11&gt;Pronostici!$M11,"1",IF(Pronostici!$L11=Pronostici!$M11,"X","2"))))</f>
        <v/>
      </c>
      <c r="M11" s="63">
        <f>IF(Pronostici!$N11&lt;&gt;"",UPPER(Pronostici!$N11),IF(OR(Pronostici!$O11="",Pronostici!$P11=""),"",IF(Pronostici!$O11&gt;Pronostici!$P11,"1",IF(Pronostici!$O11=Pronostici!$P11,"X","2"))))</f>
        <v/>
      </c>
      <c r="N11" s="63">
        <f>IF(Pronostici!$Q11&lt;&gt;"",UPPER(Pronostici!$Q11),IF(OR(Pronostici!$R11="",Pronostici!$S11=""),"",IF(Pronostici!$R11&gt;Pronostici!$S11,"1",IF(Pronostici!$R11=Pronostici!$S11,"X","2"))))</f>
        <v/>
      </c>
    </row>
    <row r="12">
      <c r="A12" s="69">
        <f>Partite!$A12</f>
        <v/>
      </c>
      <c r="B12" s="25">
        <f>Partite!$B12</f>
        <v/>
      </c>
      <c r="C12" s="43">
        <f>IF(Partite!$E12="","",Partite!$E12&amp;"  -  "&amp;Partite!$F12)</f>
        <v/>
      </c>
      <c r="D12" s="22">
        <f>IF(Partite!$K12&lt;&gt;"Giocata","",IF(AND(Pronostici!$F12&lt;&gt;"",Pronostici!$G12&lt;&gt;"",Pronostici!$F12=Partite!$G12,Pronostici!$G12=Partite!$H12),Config!$D$6,IF(AND($J12&lt;&gt;"",$J12=Partite!$I12),Config!$D$7,Config!$D$8)))</f>
        <v/>
      </c>
      <c r="E12" s="22">
        <f>IF(Partite!$K12&lt;&gt;"Giocata","",IF(AND(Pronostici!$I12&lt;&gt;"",Pronostici!$J12&lt;&gt;"",Pronostici!$I12=Partite!$G12,Pronostici!$J12=Partite!$H12),Config!$D$6,IF(AND($K12&lt;&gt;"",$K12=Partite!$I12),Config!$D$7,Config!$D$8)))</f>
        <v/>
      </c>
      <c r="F12" s="22">
        <f>IF(Partite!$K12&lt;&gt;"Giocata","",IF(AND(Pronostici!$L12&lt;&gt;"",Pronostici!$M12&lt;&gt;"",Pronostici!$L12=Partite!$G12,Pronostici!$M12=Partite!$H12),Config!$D$6,IF(AND($L12&lt;&gt;"",$L12=Partite!$I12),Config!$D$7,Config!$D$8)))</f>
        <v/>
      </c>
      <c r="G12" s="22">
        <f>IF(Partite!$K12&lt;&gt;"Giocata","",IF(AND(Pronostici!$O12&lt;&gt;"",Pronostici!$P12&lt;&gt;"",Pronostici!$O12=Partite!$G12,Pronostici!$P12=Partite!$H12),Config!$D$6,IF(AND($M12&lt;&gt;"",$M12=Partite!$I12),Config!$D$7,Config!$D$8)))</f>
        <v/>
      </c>
      <c r="H12" s="22">
        <f>IF(Partite!$K12&lt;&gt;"Giocata","",IF(AND(Pronostici!$R12&lt;&gt;"",Pronostici!$S12&lt;&gt;"",Pronostici!$R12=Partite!$G12,Pronostici!$S12=Partite!$H12),Config!$D$6,IF(AND($N12&lt;&gt;"",$N12=Partite!$I12),Config!$D$7,Config!$D$8)))</f>
        <v/>
      </c>
      <c r="J12" s="63">
        <f>IF(Pronostici!$E12&lt;&gt;"",UPPER(Pronostici!$E12),IF(OR(Pronostici!$F12="",Pronostici!$G12=""),"",IF(Pronostici!$F12&gt;Pronostici!$G12,"1",IF(Pronostici!$F12=Pronostici!$G12,"X","2"))))</f>
        <v/>
      </c>
      <c r="K12" s="63">
        <f>IF(Pronostici!$H12&lt;&gt;"",UPPER(Pronostici!$H12),IF(OR(Pronostici!$I12="",Pronostici!$J12=""),"",IF(Pronostici!$I12&gt;Pronostici!$J12,"1",IF(Pronostici!$I12=Pronostici!$J12,"X","2"))))</f>
        <v/>
      </c>
      <c r="L12" s="63">
        <f>IF(Pronostici!$K12&lt;&gt;"",UPPER(Pronostici!$K12),IF(OR(Pronostici!$L12="",Pronostici!$M12=""),"",IF(Pronostici!$L12&gt;Pronostici!$M12,"1",IF(Pronostici!$L12=Pronostici!$M12,"X","2"))))</f>
        <v/>
      </c>
      <c r="M12" s="63">
        <f>IF(Pronostici!$N12&lt;&gt;"",UPPER(Pronostici!$N12),IF(OR(Pronostici!$O12="",Pronostici!$P12=""),"",IF(Pronostici!$O12&gt;Pronostici!$P12,"1",IF(Pronostici!$O12=Pronostici!$P12,"X","2"))))</f>
        <v/>
      </c>
      <c r="N12" s="63">
        <f>IF(Pronostici!$Q12&lt;&gt;"",UPPER(Pronostici!$Q12),IF(OR(Pronostici!$R12="",Pronostici!$S12=""),"",IF(Pronostici!$R12&gt;Pronostici!$S12,"1",IF(Pronostici!$R12=Pronostici!$S12,"X","2"))))</f>
        <v/>
      </c>
    </row>
    <row r="13">
      <c r="A13" s="74">
        <f>Partite!$A13</f>
        <v/>
      </c>
      <c r="B13" s="30">
        <f>Partite!$B13</f>
        <v/>
      </c>
      <c r="C13" s="47">
        <f>IF(Partite!$E13="","",Partite!$E13&amp;"  -  "&amp;Partite!$F13)</f>
        <v/>
      </c>
      <c r="D13" s="27">
        <f>IF(Partite!$K13&lt;&gt;"Giocata","",IF(AND(Pronostici!$F13&lt;&gt;"",Pronostici!$G13&lt;&gt;"",Pronostici!$F13=Partite!$G13,Pronostici!$G13=Partite!$H13),Config!$D$6,IF(AND($J13&lt;&gt;"",$J13=Partite!$I13),Config!$D$7,Config!$D$8)))</f>
        <v/>
      </c>
      <c r="E13" s="27">
        <f>IF(Partite!$K13&lt;&gt;"Giocata","",IF(AND(Pronostici!$I13&lt;&gt;"",Pronostici!$J13&lt;&gt;"",Pronostici!$I13=Partite!$G13,Pronostici!$J13=Partite!$H13),Config!$D$6,IF(AND($K13&lt;&gt;"",$K13=Partite!$I13),Config!$D$7,Config!$D$8)))</f>
        <v/>
      </c>
      <c r="F13" s="27">
        <f>IF(Partite!$K13&lt;&gt;"Giocata","",IF(AND(Pronostici!$L13&lt;&gt;"",Pronostici!$M13&lt;&gt;"",Pronostici!$L13=Partite!$G13,Pronostici!$M13=Partite!$H13),Config!$D$6,IF(AND($L13&lt;&gt;"",$L13=Partite!$I13),Config!$D$7,Config!$D$8)))</f>
        <v/>
      </c>
      <c r="G13" s="27">
        <f>IF(Partite!$K13&lt;&gt;"Giocata","",IF(AND(Pronostici!$O13&lt;&gt;"",Pronostici!$P13&lt;&gt;"",Pronostici!$O13=Partite!$G13,Pronostici!$P13=Partite!$H13),Config!$D$6,IF(AND($M13&lt;&gt;"",$M13=Partite!$I13),Config!$D$7,Config!$D$8)))</f>
        <v/>
      </c>
      <c r="H13" s="27">
        <f>IF(Partite!$K13&lt;&gt;"Giocata","",IF(AND(Pronostici!$R13&lt;&gt;"",Pronostici!$S13&lt;&gt;"",Pronostici!$R13=Partite!$G13,Pronostici!$S13=Partite!$H13),Config!$D$6,IF(AND($N13&lt;&gt;"",$N13=Partite!$I13),Config!$D$7,Config!$D$8)))</f>
        <v/>
      </c>
      <c r="J13" s="63">
        <f>IF(Pronostici!$E13&lt;&gt;"",UPPER(Pronostici!$E13),IF(OR(Pronostici!$F13="",Pronostici!$G13=""),"",IF(Pronostici!$F13&gt;Pronostici!$G13,"1",IF(Pronostici!$F13=Pronostici!$G13,"X","2"))))</f>
        <v/>
      </c>
      <c r="K13" s="63">
        <f>IF(Pronostici!$H13&lt;&gt;"",UPPER(Pronostici!$H13),IF(OR(Pronostici!$I13="",Pronostici!$J13=""),"",IF(Pronostici!$I13&gt;Pronostici!$J13,"1",IF(Pronostici!$I13=Pronostici!$J13,"X","2"))))</f>
        <v/>
      </c>
      <c r="L13" s="63">
        <f>IF(Pronostici!$K13&lt;&gt;"",UPPER(Pronostici!$K13),IF(OR(Pronostici!$L13="",Pronostici!$M13=""),"",IF(Pronostici!$L13&gt;Pronostici!$M13,"1",IF(Pronostici!$L13=Pronostici!$M13,"X","2"))))</f>
        <v/>
      </c>
      <c r="M13" s="63">
        <f>IF(Pronostici!$N13&lt;&gt;"",UPPER(Pronostici!$N13),IF(OR(Pronostici!$O13="",Pronostici!$P13=""),"",IF(Pronostici!$O13&gt;Pronostici!$P13,"1",IF(Pronostici!$O13=Pronostici!$P13,"X","2"))))</f>
        <v/>
      </c>
      <c r="N13" s="63">
        <f>IF(Pronostici!$Q13&lt;&gt;"",UPPER(Pronostici!$Q13),IF(OR(Pronostici!$R13="",Pronostici!$S13=""),"",IF(Pronostici!$R13&gt;Pronostici!$S13,"1",IF(Pronostici!$R13=Pronostici!$S13,"X","2"))))</f>
        <v/>
      </c>
    </row>
    <row r="14">
      <c r="A14" s="74">
        <f>Partite!$A14</f>
        <v/>
      </c>
      <c r="B14" s="30">
        <f>Partite!$B14</f>
        <v/>
      </c>
      <c r="C14" s="47">
        <f>IF(Partite!$E14="","",Partite!$E14&amp;"  -  "&amp;Partite!$F14)</f>
        <v/>
      </c>
      <c r="D14" s="27">
        <f>IF(Partite!$K14&lt;&gt;"Giocata","",IF(AND(Pronostici!$F14&lt;&gt;"",Pronostici!$G14&lt;&gt;"",Pronostici!$F14=Partite!$G14,Pronostici!$G14=Partite!$H14),Config!$D$6,IF(AND($J14&lt;&gt;"",$J14=Partite!$I14),Config!$D$7,Config!$D$8)))</f>
        <v/>
      </c>
      <c r="E14" s="27">
        <f>IF(Partite!$K14&lt;&gt;"Giocata","",IF(AND(Pronostici!$I14&lt;&gt;"",Pronostici!$J14&lt;&gt;"",Pronostici!$I14=Partite!$G14,Pronostici!$J14=Partite!$H14),Config!$D$6,IF(AND($K14&lt;&gt;"",$K14=Partite!$I14),Config!$D$7,Config!$D$8)))</f>
        <v/>
      </c>
      <c r="F14" s="27">
        <f>IF(Partite!$K14&lt;&gt;"Giocata","",IF(AND(Pronostici!$L14&lt;&gt;"",Pronostici!$M14&lt;&gt;"",Pronostici!$L14=Partite!$G14,Pronostici!$M14=Partite!$H14),Config!$D$6,IF(AND($L14&lt;&gt;"",$L14=Partite!$I14),Config!$D$7,Config!$D$8)))</f>
        <v/>
      </c>
      <c r="G14" s="27">
        <f>IF(Partite!$K14&lt;&gt;"Giocata","",IF(AND(Pronostici!$O14&lt;&gt;"",Pronostici!$P14&lt;&gt;"",Pronostici!$O14=Partite!$G14,Pronostici!$P14=Partite!$H14),Config!$D$6,IF(AND($M14&lt;&gt;"",$M14=Partite!$I14),Config!$D$7,Config!$D$8)))</f>
        <v/>
      </c>
      <c r="H14" s="27">
        <f>IF(Partite!$K14&lt;&gt;"Giocata","",IF(AND(Pronostici!$R14&lt;&gt;"",Pronostici!$S14&lt;&gt;"",Pronostici!$R14=Partite!$G14,Pronostici!$S14=Partite!$H14),Config!$D$6,IF(AND($N14&lt;&gt;"",$N14=Partite!$I14),Config!$D$7,Config!$D$8)))</f>
        <v/>
      </c>
      <c r="J14" s="63">
        <f>IF(Pronostici!$E14&lt;&gt;"",UPPER(Pronostici!$E14),IF(OR(Pronostici!$F14="",Pronostici!$G14=""),"",IF(Pronostici!$F14&gt;Pronostici!$G14,"1",IF(Pronostici!$F14=Pronostici!$G14,"X","2"))))</f>
        <v/>
      </c>
      <c r="K14" s="63">
        <f>IF(Pronostici!$H14&lt;&gt;"",UPPER(Pronostici!$H14),IF(OR(Pronostici!$I14="",Pronostici!$J14=""),"",IF(Pronostici!$I14&gt;Pronostici!$J14,"1",IF(Pronostici!$I14=Pronostici!$J14,"X","2"))))</f>
        <v/>
      </c>
      <c r="L14" s="63">
        <f>IF(Pronostici!$K14&lt;&gt;"",UPPER(Pronostici!$K14),IF(OR(Pronostici!$L14="",Pronostici!$M14=""),"",IF(Pronostici!$L14&gt;Pronostici!$M14,"1",IF(Pronostici!$L14=Pronostici!$M14,"X","2"))))</f>
        <v/>
      </c>
      <c r="M14" s="63">
        <f>IF(Pronostici!$N14&lt;&gt;"",UPPER(Pronostici!$N14),IF(OR(Pronostici!$O14="",Pronostici!$P14=""),"",IF(Pronostici!$O14&gt;Pronostici!$P14,"1",IF(Pronostici!$O14=Pronostici!$P14,"X","2"))))</f>
        <v/>
      </c>
      <c r="N14" s="63">
        <f>IF(Pronostici!$Q14&lt;&gt;"",UPPER(Pronostici!$Q14),IF(OR(Pronostici!$R14="",Pronostici!$S14=""),"",IF(Pronostici!$R14&gt;Pronostici!$S14,"1",IF(Pronostici!$R14=Pronostici!$S14,"X","2"))))</f>
        <v/>
      </c>
    </row>
    <row r="15">
      <c r="A15" s="74">
        <f>Partite!$A15</f>
        <v/>
      </c>
      <c r="B15" s="30">
        <f>Partite!$B15</f>
        <v/>
      </c>
      <c r="C15" s="47">
        <f>IF(Partite!$E15="","",Partite!$E15&amp;"  -  "&amp;Partite!$F15)</f>
        <v/>
      </c>
      <c r="D15" s="27">
        <f>IF(Partite!$K15&lt;&gt;"Giocata","",IF(AND(Pronostici!$F15&lt;&gt;"",Pronostici!$G15&lt;&gt;"",Pronostici!$F15=Partite!$G15,Pronostici!$G15=Partite!$H15),Config!$D$6,IF(AND($J15&lt;&gt;"",$J15=Partite!$I15),Config!$D$7,Config!$D$8)))</f>
        <v/>
      </c>
      <c r="E15" s="27">
        <f>IF(Partite!$K15&lt;&gt;"Giocata","",IF(AND(Pronostici!$I15&lt;&gt;"",Pronostici!$J15&lt;&gt;"",Pronostici!$I15=Partite!$G15,Pronostici!$J15=Partite!$H15),Config!$D$6,IF(AND($K15&lt;&gt;"",$K15=Partite!$I15),Config!$D$7,Config!$D$8)))</f>
        <v/>
      </c>
      <c r="F15" s="27">
        <f>IF(Partite!$K15&lt;&gt;"Giocata","",IF(AND(Pronostici!$L15&lt;&gt;"",Pronostici!$M15&lt;&gt;"",Pronostici!$L15=Partite!$G15,Pronostici!$M15=Partite!$H15),Config!$D$6,IF(AND($L15&lt;&gt;"",$L15=Partite!$I15),Config!$D$7,Config!$D$8)))</f>
        <v/>
      </c>
      <c r="G15" s="27">
        <f>IF(Partite!$K15&lt;&gt;"Giocata","",IF(AND(Pronostici!$O15&lt;&gt;"",Pronostici!$P15&lt;&gt;"",Pronostici!$O15=Partite!$G15,Pronostici!$P15=Partite!$H15),Config!$D$6,IF(AND($M15&lt;&gt;"",$M15=Partite!$I15),Config!$D$7,Config!$D$8)))</f>
        <v/>
      </c>
      <c r="H15" s="27">
        <f>IF(Partite!$K15&lt;&gt;"Giocata","",IF(AND(Pronostici!$R15&lt;&gt;"",Pronostici!$S15&lt;&gt;"",Pronostici!$R15=Partite!$G15,Pronostici!$S15=Partite!$H15),Config!$D$6,IF(AND($N15&lt;&gt;"",$N15=Partite!$I15),Config!$D$7,Config!$D$8)))</f>
        <v/>
      </c>
      <c r="J15" s="63">
        <f>IF(Pronostici!$E15&lt;&gt;"",UPPER(Pronostici!$E15),IF(OR(Pronostici!$F15="",Pronostici!$G15=""),"",IF(Pronostici!$F15&gt;Pronostici!$G15,"1",IF(Pronostici!$F15=Pronostici!$G15,"X","2"))))</f>
        <v/>
      </c>
      <c r="K15" s="63">
        <f>IF(Pronostici!$H15&lt;&gt;"",UPPER(Pronostici!$H15),IF(OR(Pronostici!$I15="",Pronostici!$J15=""),"",IF(Pronostici!$I15&gt;Pronostici!$J15,"1",IF(Pronostici!$I15=Pronostici!$J15,"X","2"))))</f>
        <v/>
      </c>
      <c r="L15" s="63">
        <f>IF(Pronostici!$K15&lt;&gt;"",UPPER(Pronostici!$K15),IF(OR(Pronostici!$L15="",Pronostici!$M15=""),"",IF(Pronostici!$L15&gt;Pronostici!$M15,"1",IF(Pronostici!$L15=Pronostici!$M15,"X","2"))))</f>
        <v/>
      </c>
      <c r="M15" s="63">
        <f>IF(Pronostici!$N15&lt;&gt;"",UPPER(Pronostici!$N15),IF(OR(Pronostici!$O15="",Pronostici!$P15=""),"",IF(Pronostici!$O15&gt;Pronostici!$P15,"1",IF(Pronostici!$O15=Pronostici!$P15,"X","2"))))</f>
        <v/>
      </c>
      <c r="N15" s="63">
        <f>IF(Pronostici!$Q15&lt;&gt;"",UPPER(Pronostici!$Q15),IF(OR(Pronostici!$R15="",Pronostici!$S15=""),"",IF(Pronostici!$R15&gt;Pronostici!$S15,"1",IF(Pronostici!$R15=Pronostici!$S15,"X","2"))))</f>
        <v/>
      </c>
    </row>
    <row r="16">
      <c r="A16" s="74">
        <f>Partite!$A16</f>
        <v/>
      </c>
      <c r="B16" s="30">
        <f>Partite!$B16</f>
        <v/>
      </c>
      <c r="C16" s="47">
        <f>IF(Partite!$E16="","",Partite!$E16&amp;"  -  "&amp;Partite!$F16)</f>
        <v/>
      </c>
      <c r="D16" s="27">
        <f>IF(Partite!$K16&lt;&gt;"Giocata","",IF(AND(Pronostici!$F16&lt;&gt;"",Pronostici!$G16&lt;&gt;"",Pronostici!$F16=Partite!$G16,Pronostici!$G16=Partite!$H16),Config!$D$6,IF(AND($J16&lt;&gt;"",$J16=Partite!$I16),Config!$D$7,Config!$D$8)))</f>
        <v/>
      </c>
      <c r="E16" s="27">
        <f>IF(Partite!$K16&lt;&gt;"Giocata","",IF(AND(Pronostici!$I16&lt;&gt;"",Pronostici!$J16&lt;&gt;"",Pronostici!$I16=Partite!$G16,Pronostici!$J16=Partite!$H16),Config!$D$6,IF(AND($K16&lt;&gt;"",$K16=Partite!$I16),Config!$D$7,Config!$D$8)))</f>
        <v/>
      </c>
      <c r="F16" s="27">
        <f>IF(Partite!$K16&lt;&gt;"Giocata","",IF(AND(Pronostici!$L16&lt;&gt;"",Pronostici!$M16&lt;&gt;"",Pronostici!$L16=Partite!$G16,Pronostici!$M16=Partite!$H16),Config!$D$6,IF(AND($L16&lt;&gt;"",$L16=Partite!$I16),Config!$D$7,Config!$D$8)))</f>
        <v/>
      </c>
      <c r="G16" s="27">
        <f>IF(Partite!$K16&lt;&gt;"Giocata","",IF(AND(Pronostici!$O16&lt;&gt;"",Pronostici!$P16&lt;&gt;"",Pronostici!$O16=Partite!$G16,Pronostici!$P16=Partite!$H16),Config!$D$6,IF(AND($M16&lt;&gt;"",$M16=Partite!$I16),Config!$D$7,Config!$D$8)))</f>
        <v/>
      </c>
      <c r="H16" s="27">
        <f>IF(Partite!$K16&lt;&gt;"Giocata","",IF(AND(Pronostici!$R16&lt;&gt;"",Pronostici!$S16&lt;&gt;"",Pronostici!$R16=Partite!$G16,Pronostici!$S16=Partite!$H16),Config!$D$6,IF(AND($N16&lt;&gt;"",$N16=Partite!$I16),Config!$D$7,Config!$D$8)))</f>
        <v/>
      </c>
      <c r="J16" s="63">
        <f>IF(Pronostici!$E16&lt;&gt;"",UPPER(Pronostici!$E16),IF(OR(Pronostici!$F16="",Pronostici!$G16=""),"",IF(Pronostici!$F16&gt;Pronostici!$G16,"1",IF(Pronostici!$F16=Pronostici!$G16,"X","2"))))</f>
        <v/>
      </c>
      <c r="K16" s="63">
        <f>IF(Pronostici!$H16&lt;&gt;"",UPPER(Pronostici!$H16),IF(OR(Pronostici!$I16="",Pronostici!$J16=""),"",IF(Pronostici!$I16&gt;Pronostici!$J16,"1",IF(Pronostici!$I16=Pronostici!$J16,"X","2"))))</f>
        <v/>
      </c>
      <c r="L16" s="63">
        <f>IF(Pronostici!$K16&lt;&gt;"",UPPER(Pronostici!$K16),IF(OR(Pronostici!$L16="",Pronostici!$M16=""),"",IF(Pronostici!$L16&gt;Pronostici!$M16,"1",IF(Pronostici!$L16=Pronostici!$M16,"X","2"))))</f>
        <v/>
      </c>
      <c r="M16" s="63">
        <f>IF(Pronostici!$N16&lt;&gt;"",UPPER(Pronostici!$N16),IF(OR(Pronostici!$O16="",Pronostici!$P16=""),"",IF(Pronostici!$O16&gt;Pronostici!$P16,"1",IF(Pronostici!$O16=Pronostici!$P16,"X","2"))))</f>
        <v/>
      </c>
      <c r="N16" s="63">
        <f>IF(Pronostici!$Q16&lt;&gt;"",UPPER(Pronostici!$Q16),IF(OR(Pronostici!$R16="",Pronostici!$S16=""),"",IF(Pronostici!$R16&gt;Pronostici!$S16,"1",IF(Pronostici!$R16=Pronostici!$S16,"X","2"))))</f>
        <v/>
      </c>
    </row>
    <row r="17">
      <c r="A17" s="74">
        <f>Partite!$A17</f>
        <v/>
      </c>
      <c r="B17" s="30">
        <f>Partite!$B17</f>
        <v/>
      </c>
      <c r="C17" s="47">
        <f>IF(Partite!$E17="","",Partite!$E17&amp;"  -  "&amp;Partite!$F17)</f>
        <v/>
      </c>
      <c r="D17" s="27">
        <f>IF(Partite!$K17&lt;&gt;"Giocata","",IF(AND(Pronostici!$F17&lt;&gt;"",Pronostici!$G17&lt;&gt;"",Pronostici!$F17=Partite!$G17,Pronostici!$G17=Partite!$H17),Config!$D$6,IF(AND($J17&lt;&gt;"",$J17=Partite!$I17),Config!$D$7,Config!$D$8)))</f>
        <v/>
      </c>
      <c r="E17" s="27">
        <f>IF(Partite!$K17&lt;&gt;"Giocata","",IF(AND(Pronostici!$I17&lt;&gt;"",Pronostici!$J17&lt;&gt;"",Pronostici!$I17=Partite!$G17,Pronostici!$J17=Partite!$H17),Config!$D$6,IF(AND($K17&lt;&gt;"",$K17=Partite!$I17),Config!$D$7,Config!$D$8)))</f>
        <v/>
      </c>
      <c r="F17" s="27">
        <f>IF(Partite!$K17&lt;&gt;"Giocata","",IF(AND(Pronostici!$L17&lt;&gt;"",Pronostici!$M17&lt;&gt;"",Pronostici!$L17=Partite!$G17,Pronostici!$M17=Partite!$H17),Config!$D$6,IF(AND($L17&lt;&gt;"",$L17=Partite!$I17),Config!$D$7,Config!$D$8)))</f>
        <v/>
      </c>
      <c r="G17" s="27">
        <f>IF(Partite!$K17&lt;&gt;"Giocata","",IF(AND(Pronostici!$O17&lt;&gt;"",Pronostici!$P17&lt;&gt;"",Pronostici!$O17=Partite!$G17,Pronostici!$P17=Partite!$H17),Config!$D$6,IF(AND($M17&lt;&gt;"",$M17=Partite!$I17),Config!$D$7,Config!$D$8)))</f>
        <v/>
      </c>
      <c r="H17" s="27">
        <f>IF(Partite!$K17&lt;&gt;"Giocata","",IF(AND(Pronostici!$R17&lt;&gt;"",Pronostici!$S17&lt;&gt;"",Pronostici!$R17=Partite!$G17,Pronostici!$S17=Partite!$H17),Config!$D$6,IF(AND($N17&lt;&gt;"",$N17=Partite!$I17),Config!$D$7,Config!$D$8)))</f>
        <v/>
      </c>
      <c r="J17" s="63">
        <f>IF(Pronostici!$E17&lt;&gt;"",UPPER(Pronostici!$E17),IF(OR(Pronostici!$F17="",Pronostici!$G17=""),"",IF(Pronostici!$F17&gt;Pronostici!$G17,"1",IF(Pronostici!$F17=Pronostici!$G17,"X","2"))))</f>
        <v/>
      </c>
      <c r="K17" s="63">
        <f>IF(Pronostici!$H17&lt;&gt;"",UPPER(Pronostici!$H17),IF(OR(Pronostici!$I17="",Pronostici!$J17=""),"",IF(Pronostici!$I17&gt;Pronostici!$J17,"1",IF(Pronostici!$I17=Pronostici!$J17,"X","2"))))</f>
        <v/>
      </c>
      <c r="L17" s="63">
        <f>IF(Pronostici!$K17&lt;&gt;"",UPPER(Pronostici!$K17),IF(OR(Pronostici!$L17="",Pronostici!$M17=""),"",IF(Pronostici!$L17&gt;Pronostici!$M17,"1",IF(Pronostici!$L17=Pronostici!$M17,"X","2"))))</f>
        <v/>
      </c>
      <c r="M17" s="63">
        <f>IF(Pronostici!$N17&lt;&gt;"",UPPER(Pronostici!$N17),IF(OR(Pronostici!$O17="",Pronostici!$P17=""),"",IF(Pronostici!$O17&gt;Pronostici!$P17,"1",IF(Pronostici!$O17=Pronostici!$P17,"X","2"))))</f>
        <v/>
      </c>
      <c r="N17" s="63">
        <f>IF(Pronostici!$Q17&lt;&gt;"",UPPER(Pronostici!$Q17),IF(OR(Pronostici!$R17="",Pronostici!$S17=""),"",IF(Pronostici!$R17&gt;Pronostici!$S17,"1",IF(Pronostici!$R17=Pronostici!$S17,"X","2"))))</f>
        <v/>
      </c>
    </row>
    <row r="18">
      <c r="A18" s="74">
        <f>Partite!$A18</f>
        <v/>
      </c>
      <c r="B18" s="30">
        <f>Partite!$B18</f>
        <v/>
      </c>
      <c r="C18" s="47">
        <f>IF(Partite!$E18="","",Partite!$E18&amp;"  -  "&amp;Partite!$F18)</f>
        <v/>
      </c>
      <c r="D18" s="27">
        <f>IF(Partite!$K18&lt;&gt;"Giocata","",IF(AND(Pronostici!$F18&lt;&gt;"",Pronostici!$G18&lt;&gt;"",Pronostici!$F18=Partite!$G18,Pronostici!$G18=Partite!$H18),Config!$D$6,IF(AND($J18&lt;&gt;"",$J18=Partite!$I18),Config!$D$7,Config!$D$8)))</f>
        <v/>
      </c>
      <c r="E18" s="27">
        <f>IF(Partite!$K18&lt;&gt;"Giocata","",IF(AND(Pronostici!$I18&lt;&gt;"",Pronostici!$J18&lt;&gt;"",Pronostici!$I18=Partite!$G18,Pronostici!$J18=Partite!$H18),Config!$D$6,IF(AND($K18&lt;&gt;"",$K18=Partite!$I18),Config!$D$7,Config!$D$8)))</f>
        <v/>
      </c>
      <c r="F18" s="27">
        <f>IF(Partite!$K18&lt;&gt;"Giocata","",IF(AND(Pronostici!$L18&lt;&gt;"",Pronostici!$M18&lt;&gt;"",Pronostici!$L18=Partite!$G18,Pronostici!$M18=Partite!$H18),Config!$D$6,IF(AND($L18&lt;&gt;"",$L18=Partite!$I18),Config!$D$7,Config!$D$8)))</f>
        <v/>
      </c>
      <c r="G18" s="27">
        <f>IF(Partite!$K18&lt;&gt;"Giocata","",IF(AND(Pronostici!$O18&lt;&gt;"",Pronostici!$P18&lt;&gt;"",Pronostici!$O18=Partite!$G18,Pronostici!$P18=Partite!$H18),Config!$D$6,IF(AND($M18&lt;&gt;"",$M18=Partite!$I18),Config!$D$7,Config!$D$8)))</f>
        <v/>
      </c>
      <c r="H18" s="27">
        <f>IF(Partite!$K18&lt;&gt;"Giocata","",IF(AND(Pronostici!$R18&lt;&gt;"",Pronostici!$S18&lt;&gt;"",Pronostici!$R18=Partite!$G18,Pronostici!$S18=Partite!$H18),Config!$D$6,IF(AND($N18&lt;&gt;"",$N18=Partite!$I18),Config!$D$7,Config!$D$8)))</f>
        <v/>
      </c>
      <c r="J18" s="63">
        <f>IF(Pronostici!$E18&lt;&gt;"",UPPER(Pronostici!$E18),IF(OR(Pronostici!$F18="",Pronostici!$G18=""),"",IF(Pronostici!$F18&gt;Pronostici!$G18,"1",IF(Pronostici!$F18=Pronostici!$G18,"X","2"))))</f>
        <v/>
      </c>
      <c r="K18" s="63">
        <f>IF(Pronostici!$H18&lt;&gt;"",UPPER(Pronostici!$H18),IF(OR(Pronostici!$I18="",Pronostici!$J18=""),"",IF(Pronostici!$I18&gt;Pronostici!$J18,"1",IF(Pronostici!$I18=Pronostici!$J18,"X","2"))))</f>
        <v/>
      </c>
      <c r="L18" s="63">
        <f>IF(Pronostici!$K18&lt;&gt;"",UPPER(Pronostici!$K18),IF(OR(Pronostici!$L18="",Pronostici!$M18=""),"",IF(Pronostici!$L18&gt;Pronostici!$M18,"1",IF(Pronostici!$L18=Pronostici!$M18,"X","2"))))</f>
        <v/>
      </c>
      <c r="M18" s="63">
        <f>IF(Pronostici!$N18&lt;&gt;"",UPPER(Pronostici!$N18),IF(OR(Pronostici!$O18="",Pronostici!$P18=""),"",IF(Pronostici!$O18&gt;Pronostici!$P18,"1",IF(Pronostici!$O18=Pronostici!$P18,"X","2"))))</f>
        <v/>
      </c>
      <c r="N18" s="63">
        <f>IF(Pronostici!$Q18&lt;&gt;"",UPPER(Pronostici!$Q18),IF(OR(Pronostici!$R18="",Pronostici!$S18=""),"",IF(Pronostici!$R18&gt;Pronostici!$S18,"1",IF(Pronostici!$R18=Pronostici!$S18,"X","2"))))</f>
        <v/>
      </c>
    </row>
    <row r="19">
      <c r="A19" s="74">
        <f>Partite!$A19</f>
        <v/>
      </c>
      <c r="B19" s="30">
        <f>Partite!$B19</f>
        <v/>
      </c>
      <c r="C19" s="47">
        <f>IF(Partite!$E19="","",Partite!$E19&amp;"  -  "&amp;Partite!$F19)</f>
        <v/>
      </c>
      <c r="D19" s="27">
        <f>IF(Partite!$K19&lt;&gt;"Giocata","",IF(AND(Pronostici!$F19&lt;&gt;"",Pronostici!$G19&lt;&gt;"",Pronostici!$F19=Partite!$G19,Pronostici!$G19=Partite!$H19),Config!$D$6,IF(AND($J19&lt;&gt;"",$J19=Partite!$I19),Config!$D$7,Config!$D$8)))</f>
        <v/>
      </c>
      <c r="E19" s="27">
        <f>IF(Partite!$K19&lt;&gt;"Giocata","",IF(AND(Pronostici!$I19&lt;&gt;"",Pronostici!$J19&lt;&gt;"",Pronostici!$I19=Partite!$G19,Pronostici!$J19=Partite!$H19),Config!$D$6,IF(AND($K19&lt;&gt;"",$K19=Partite!$I19),Config!$D$7,Config!$D$8)))</f>
        <v/>
      </c>
      <c r="F19" s="27">
        <f>IF(Partite!$K19&lt;&gt;"Giocata","",IF(AND(Pronostici!$L19&lt;&gt;"",Pronostici!$M19&lt;&gt;"",Pronostici!$L19=Partite!$G19,Pronostici!$M19=Partite!$H19),Config!$D$6,IF(AND($L19&lt;&gt;"",$L19=Partite!$I19),Config!$D$7,Config!$D$8)))</f>
        <v/>
      </c>
      <c r="G19" s="27">
        <f>IF(Partite!$K19&lt;&gt;"Giocata","",IF(AND(Pronostici!$O19&lt;&gt;"",Pronostici!$P19&lt;&gt;"",Pronostici!$O19=Partite!$G19,Pronostici!$P19=Partite!$H19),Config!$D$6,IF(AND($M19&lt;&gt;"",$M19=Partite!$I19),Config!$D$7,Config!$D$8)))</f>
        <v/>
      </c>
      <c r="H19" s="27">
        <f>IF(Partite!$K19&lt;&gt;"Giocata","",IF(AND(Pronostici!$R19&lt;&gt;"",Pronostici!$S19&lt;&gt;"",Pronostici!$R19=Partite!$G19,Pronostici!$S19=Partite!$H19),Config!$D$6,IF(AND($N19&lt;&gt;"",$N19=Partite!$I19),Config!$D$7,Config!$D$8)))</f>
        <v/>
      </c>
      <c r="J19" s="63">
        <f>IF(Pronostici!$E19&lt;&gt;"",UPPER(Pronostici!$E19),IF(OR(Pronostici!$F19="",Pronostici!$G19=""),"",IF(Pronostici!$F19&gt;Pronostici!$G19,"1",IF(Pronostici!$F19=Pronostici!$G19,"X","2"))))</f>
        <v/>
      </c>
      <c r="K19" s="63">
        <f>IF(Pronostici!$H19&lt;&gt;"",UPPER(Pronostici!$H19),IF(OR(Pronostici!$I19="",Pronostici!$J19=""),"",IF(Pronostici!$I19&gt;Pronostici!$J19,"1",IF(Pronostici!$I19=Pronostici!$J19,"X","2"))))</f>
        <v/>
      </c>
      <c r="L19" s="63">
        <f>IF(Pronostici!$K19&lt;&gt;"",UPPER(Pronostici!$K19),IF(OR(Pronostici!$L19="",Pronostici!$M19=""),"",IF(Pronostici!$L19&gt;Pronostici!$M19,"1",IF(Pronostici!$L19=Pronostici!$M19,"X","2"))))</f>
        <v/>
      </c>
      <c r="M19" s="63">
        <f>IF(Pronostici!$N19&lt;&gt;"",UPPER(Pronostici!$N19),IF(OR(Pronostici!$O19="",Pronostici!$P19=""),"",IF(Pronostici!$O19&gt;Pronostici!$P19,"1",IF(Pronostici!$O19=Pronostici!$P19,"X","2"))))</f>
        <v/>
      </c>
      <c r="N19" s="63">
        <f>IF(Pronostici!$Q19&lt;&gt;"",UPPER(Pronostici!$Q19),IF(OR(Pronostici!$R19="",Pronostici!$S19=""),"",IF(Pronostici!$R19&gt;Pronostici!$S19,"1",IF(Pronostici!$R19=Pronostici!$S19,"X","2"))))</f>
        <v/>
      </c>
    </row>
    <row r="20">
      <c r="A20" s="74">
        <f>Partite!$A20</f>
        <v/>
      </c>
      <c r="B20" s="30">
        <f>Partite!$B20</f>
        <v/>
      </c>
      <c r="C20" s="47">
        <f>IF(Partite!$E20="","",Partite!$E20&amp;"  -  "&amp;Partite!$F20)</f>
        <v/>
      </c>
      <c r="D20" s="27">
        <f>IF(Partite!$K20&lt;&gt;"Giocata","",IF(AND(Pronostici!$F20&lt;&gt;"",Pronostici!$G20&lt;&gt;"",Pronostici!$F20=Partite!$G20,Pronostici!$G20=Partite!$H20),Config!$D$6,IF(AND($J20&lt;&gt;"",$J20=Partite!$I20),Config!$D$7,Config!$D$8)))</f>
        <v/>
      </c>
      <c r="E20" s="27">
        <f>IF(Partite!$K20&lt;&gt;"Giocata","",IF(AND(Pronostici!$I20&lt;&gt;"",Pronostici!$J20&lt;&gt;"",Pronostici!$I20=Partite!$G20,Pronostici!$J20=Partite!$H20),Config!$D$6,IF(AND($K20&lt;&gt;"",$K20=Partite!$I20),Config!$D$7,Config!$D$8)))</f>
        <v/>
      </c>
      <c r="F20" s="27">
        <f>IF(Partite!$K20&lt;&gt;"Giocata","",IF(AND(Pronostici!$L20&lt;&gt;"",Pronostici!$M20&lt;&gt;"",Pronostici!$L20=Partite!$G20,Pronostici!$M20=Partite!$H20),Config!$D$6,IF(AND($L20&lt;&gt;"",$L20=Partite!$I20),Config!$D$7,Config!$D$8)))</f>
        <v/>
      </c>
      <c r="G20" s="27">
        <f>IF(Partite!$K20&lt;&gt;"Giocata","",IF(AND(Pronostici!$O20&lt;&gt;"",Pronostici!$P20&lt;&gt;"",Pronostici!$O20=Partite!$G20,Pronostici!$P20=Partite!$H20),Config!$D$6,IF(AND($M20&lt;&gt;"",$M20=Partite!$I20),Config!$D$7,Config!$D$8)))</f>
        <v/>
      </c>
      <c r="H20" s="27">
        <f>IF(Partite!$K20&lt;&gt;"Giocata","",IF(AND(Pronostici!$R20&lt;&gt;"",Pronostici!$S20&lt;&gt;"",Pronostici!$R20=Partite!$G20,Pronostici!$S20=Partite!$H20),Config!$D$6,IF(AND($N20&lt;&gt;"",$N20=Partite!$I20),Config!$D$7,Config!$D$8)))</f>
        <v/>
      </c>
      <c r="J20" s="63">
        <f>IF(Pronostici!$E20&lt;&gt;"",UPPER(Pronostici!$E20),IF(OR(Pronostici!$F20="",Pronostici!$G20=""),"",IF(Pronostici!$F20&gt;Pronostici!$G20,"1",IF(Pronostici!$F20=Pronostici!$G20,"X","2"))))</f>
        <v/>
      </c>
      <c r="K20" s="63">
        <f>IF(Pronostici!$H20&lt;&gt;"",UPPER(Pronostici!$H20),IF(OR(Pronostici!$I20="",Pronostici!$J20=""),"",IF(Pronostici!$I20&gt;Pronostici!$J20,"1",IF(Pronostici!$I20=Pronostici!$J20,"X","2"))))</f>
        <v/>
      </c>
      <c r="L20" s="63">
        <f>IF(Pronostici!$K20&lt;&gt;"",UPPER(Pronostici!$K20),IF(OR(Pronostici!$L20="",Pronostici!$M20=""),"",IF(Pronostici!$L20&gt;Pronostici!$M20,"1",IF(Pronostici!$L20=Pronostici!$M20,"X","2"))))</f>
        <v/>
      </c>
      <c r="M20" s="63">
        <f>IF(Pronostici!$N20&lt;&gt;"",UPPER(Pronostici!$N20),IF(OR(Pronostici!$O20="",Pronostici!$P20=""),"",IF(Pronostici!$O20&gt;Pronostici!$P20,"1",IF(Pronostici!$O20=Pronostici!$P20,"X","2"))))</f>
        <v/>
      </c>
      <c r="N20" s="63">
        <f>IF(Pronostici!$Q20&lt;&gt;"",UPPER(Pronostici!$Q20),IF(OR(Pronostici!$R20="",Pronostici!$S20=""),"",IF(Pronostici!$R20&gt;Pronostici!$S20,"1",IF(Pronostici!$R20=Pronostici!$S20,"X","2"))))</f>
        <v/>
      </c>
    </row>
    <row r="21">
      <c r="A21" s="74">
        <f>Partite!$A21</f>
        <v/>
      </c>
      <c r="B21" s="30">
        <f>Partite!$B21</f>
        <v/>
      </c>
      <c r="C21" s="47">
        <f>IF(Partite!$E21="","",Partite!$E21&amp;"  -  "&amp;Partite!$F21)</f>
        <v/>
      </c>
      <c r="D21" s="27">
        <f>IF(Partite!$K21&lt;&gt;"Giocata","",IF(AND(Pronostici!$F21&lt;&gt;"",Pronostici!$G21&lt;&gt;"",Pronostici!$F21=Partite!$G21,Pronostici!$G21=Partite!$H21),Config!$D$6,IF(AND($J21&lt;&gt;"",$J21=Partite!$I21),Config!$D$7,Config!$D$8)))</f>
        <v/>
      </c>
      <c r="E21" s="27">
        <f>IF(Partite!$K21&lt;&gt;"Giocata","",IF(AND(Pronostici!$I21&lt;&gt;"",Pronostici!$J21&lt;&gt;"",Pronostici!$I21=Partite!$G21,Pronostici!$J21=Partite!$H21),Config!$D$6,IF(AND($K21&lt;&gt;"",$K21=Partite!$I21),Config!$D$7,Config!$D$8)))</f>
        <v/>
      </c>
      <c r="F21" s="27">
        <f>IF(Partite!$K21&lt;&gt;"Giocata","",IF(AND(Pronostici!$L21&lt;&gt;"",Pronostici!$M21&lt;&gt;"",Pronostici!$L21=Partite!$G21,Pronostici!$M21=Partite!$H21),Config!$D$6,IF(AND($L21&lt;&gt;"",$L21=Partite!$I21),Config!$D$7,Config!$D$8)))</f>
        <v/>
      </c>
      <c r="G21" s="27">
        <f>IF(Partite!$K21&lt;&gt;"Giocata","",IF(AND(Pronostici!$O21&lt;&gt;"",Pronostici!$P21&lt;&gt;"",Pronostici!$O21=Partite!$G21,Pronostici!$P21=Partite!$H21),Config!$D$6,IF(AND($M21&lt;&gt;"",$M21=Partite!$I21),Config!$D$7,Config!$D$8)))</f>
        <v/>
      </c>
      <c r="H21" s="27">
        <f>IF(Partite!$K21&lt;&gt;"Giocata","",IF(AND(Pronostici!$R21&lt;&gt;"",Pronostici!$S21&lt;&gt;"",Pronostici!$R21=Partite!$G21,Pronostici!$S21=Partite!$H21),Config!$D$6,IF(AND($N21&lt;&gt;"",$N21=Partite!$I21),Config!$D$7,Config!$D$8)))</f>
        <v/>
      </c>
      <c r="J21" s="63">
        <f>IF(Pronostici!$E21&lt;&gt;"",UPPER(Pronostici!$E21),IF(OR(Pronostici!$F21="",Pronostici!$G21=""),"",IF(Pronostici!$F21&gt;Pronostici!$G21,"1",IF(Pronostici!$F21=Pronostici!$G21,"X","2"))))</f>
        <v/>
      </c>
      <c r="K21" s="63">
        <f>IF(Pronostici!$H21&lt;&gt;"",UPPER(Pronostici!$H21),IF(OR(Pronostici!$I21="",Pronostici!$J21=""),"",IF(Pronostici!$I21&gt;Pronostici!$J21,"1",IF(Pronostici!$I21=Pronostici!$J21,"X","2"))))</f>
        <v/>
      </c>
      <c r="L21" s="63">
        <f>IF(Pronostici!$K21&lt;&gt;"",UPPER(Pronostici!$K21),IF(OR(Pronostici!$L21="",Pronostici!$M21=""),"",IF(Pronostici!$L21&gt;Pronostici!$M21,"1",IF(Pronostici!$L21=Pronostici!$M21,"X","2"))))</f>
        <v/>
      </c>
      <c r="M21" s="63">
        <f>IF(Pronostici!$N21&lt;&gt;"",UPPER(Pronostici!$N21),IF(OR(Pronostici!$O21="",Pronostici!$P21=""),"",IF(Pronostici!$O21&gt;Pronostici!$P21,"1",IF(Pronostici!$O21=Pronostici!$P21,"X","2"))))</f>
        <v/>
      </c>
      <c r="N21" s="63">
        <f>IF(Pronostici!$Q21&lt;&gt;"",UPPER(Pronostici!$Q21),IF(OR(Pronostici!$R21="",Pronostici!$S21=""),"",IF(Pronostici!$R21&gt;Pronostici!$S21,"1",IF(Pronostici!$R21=Pronostici!$S21,"X","2"))))</f>
        <v/>
      </c>
    </row>
    <row r="22">
      <c r="A22" s="74">
        <f>Partite!$A22</f>
        <v/>
      </c>
      <c r="B22" s="30">
        <f>Partite!$B22</f>
        <v/>
      </c>
      <c r="C22" s="47">
        <f>IF(Partite!$E22="","",Partite!$E22&amp;"  -  "&amp;Partite!$F22)</f>
        <v/>
      </c>
      <c r="D22" s="27">
        <f>IF(Partite!$K22&lt;&gt;"Giocata","",IF(AND(Pronostici!$F22&lt;&gt;"",Pronostici!$G22&lt;&gt;"",Pronostici!$F22=Partite!$G22,Pronostici!$G22=Partite!$H22),Config!$D$6,IF(AND($J22&lt;&gt;"",$J22=Partite!$I22),Config!$D$7,Config!$D$8)))</f>
        <v/>
      </c>
      <c r="E22" s="27">
        <f>IF(Partite!$K22&lt;&gt;"Giocata","",IF(AND(Pronostici!$I22&lt;&gt;"",Pronostici!$J22&lt;&gt;"",Pronostici!$I22=Partite!$G22,Pronostici!$J22=Partite!$H22),Config!$D$6,IF(AND($K22&lt;&gt;"",$K22=Partite!$I22),Config!$D$7,Config!$D$8)))</f>
        <v/>
      </c>
      <c r="F22" s="27">
        <f>IF(Partite!$K22&lt;&gt;"Giocata","",IF(AND(Pronostici!$L22&lt;&gt;"",Pronostici!$M22&lt;&gt;"",Pronostici!$L22=Partite!$G22,Pronostici!$M22=Partite!$H22),Config!$D$6,IF(AND($L22&lt;&gt;"",$L22=Partite!$I22),Config!$D$7,Config!$D$8)))</f>
        <v/>
      </c>
      <c r="G22" s="27">
        <f>IF(Partite!$K22&lt;&gt;"Giocata","",IF(AND(Pronostici!$O22&lt;&gt;"",Pronostici!$P22&lt;&gt;"",Pronostici!$O22=Partite!$G22,Pronostici!$P22=Partite!$H22),Config!$D$6,IF(AND($M22&lt;&gt;"",$M22=Partite!$I22),Config!$D$7,Config!$D$8)))</f>
        <v/>
      </c>
      <c r="H22" s="27">
        <f>IF(Partite!$K22&lt;&gt;"Giocata","",IF(AND(Pronostici!$R22&lt;&gt;"",Pronostici!$S22&lt;&gt;"",Pronostici!$R22=Partite!$G22,Pronostici!$S22=Partite!$H22),Config!$D$6,IF(AND($N22&lt;&gt;"",$N22=Partite!$I22),Config!$D$7,Config!$D$8)))</f>
        <v/>
      </c>
      <c r="J22" s="63">
        <f>IF(Pronostici!$E22&lt;&gt;"",UPPER(Pronostici!$E22),IF(OR(Pronostici!$F22="",Pronostici!$G22=""),"",IF(Pronostici!$F22&gt;Pronostici!$G22,"1",IF(Pronostici!$F22=Pronostici!$G22,"X","2"))))</f>
        <v/>
      </c>
      <c r="K22" s="63">
        <f>IF(Pronostici!$H22&lt;&gt;"",UPPER(Pronostici!$H22),IF(OR(Pronostici!$I22="",Pronostici!$J22=""),"",IF(Pronostici!$I22&gt;Pronostici!$J22,"1",IF(Pronostici!$I22=Pronostici!$J22,"X","2"))))</f>
        <v/>
      </c>
      <c r="L22" s="63">
        <f>IF(Pronostici!$K22&lt;&gt;"",UPPER(Pronostici!$K22),IF(OR(Pronostici!$L22="",Pronostici!$M22=""),"",IF(Pronostici!$L22&gt;Pronostici!$M22,"1",IF(Pronostici!$L22=Pronostici!$M22,"X","2"))))</f>
        <v/>
      </c>
      <c r="M22" s="63">
        <f>IF(Pronostici!$N22&lt;&gt;"",UPPER(Pronostici!$N22),IF(OR(Pronostici!$O22="",Pronostici!$P22=""),"",IF(Pronostici!$O22&gt;Pronostici!$P22,"1",IF(Pronostici!$O22=Pronostici!$P22,"X","2"))))</f>
        <v/>
      </c>
      <c r="N22" s="63">
        <f>IF(Pronostici!$Q22&lt;&gt;"",UPPER(Pronostici!$Q22),IF(OR(Pronostici!$R22="",Pronostici!$S22=""),"",IF(Pronostici!$R22&gt;Pronostici!$S22,"1",IF(Pronostici!$R22=Pronostici!$S22,"X","2"))))</f>
        <v/>
      </c>
    </row>
    <row r="23">
      <c r="A23" s="69">
        <f>Partite!$A23</f>
        <v/>
      </c>
      <c r="B23" s="25">
        <f>Partite!$B23</f>
        <v/>
      </c>
      <c r="C23" s="43">
        <f>IF(Partite!$E23="","",Partite!$E23&amp;"  -  "&amp;Partite!$F23)</f>
        <v/>
      </c>
      <c r="D23" s="22">
        <f>IF(Partite!$K23&lt;&gt;"Giocata","",IF(AND(Pronostici!$F23&lt;&gt;"",Pronostici!$G23&lt;&gt;"",Pronostici!$F23=Partite!$G23,Pronostici!$G23=Partite!$H23),Config!$D$6,IF(AND($J23&lt;&gt;"",$J23=Partite!$I23),Config!$D$7,Config!$D$8)))</f>
        <v/>
      </c>
      <c r="E23" s="22">
        <f>IF(Partite!$K23&lt;&gt;"Giocata","",IF(AND(Pronostici!$I23&lt;&gt;"",Pronostici!$J23&lt;&gt;"",Pronostici!$I23=Partite!$G23,Pronostici!$J23=Partite!$H23),Config!$D$6,IF(AND($K23&lt;&gt;"",$K23=Partite!$I23),Config!$D$7,Config!$D$8)))</f>
        <v/>
      </c>
      <c r="F23" s="22">
        <f>IF(Partite!$K23&lt;&gt;"Giocata","",IF(AND(Pronostici!$L23&lt;&gt;"",Pronostici!$M23&lt;&gt;"",Pronostici!$L23=Partite!$G23,Pronostici!$M23=Partite!$H23),Config!$D$6,IF(AND($L23&lt;&gt;"",$L23=Partite!$I23),Config!$D$7,Config!$D$8)))</f>
        <v/>
      </c>
      <c r="G23" s="22">
        <f>IF(Partite!$K23&lt;&gt;"Giocata","",IF(AND(Pronostici!$O23&lt;&gt;"",Pronostici!$P23&lt;&gt;"",Pronostici!$O23=Partite!$G23,Pronostici!$P23=Partite!$H23),Config!$D$6,IF(AND($M23&lt;&gt;"",$M23=Partite!$I23),Config!$D$7,Config!$D$8)))</f>
        <v/>
      </c>
      <c r="H23" s="22">
        <f>IF(Partite!$K23&lt;&gt;"Giocata","",IF(AND(Pronostici!$R23&lt;&gt;"",Pronostici!$S23&lt;&gt;"",Pronostici!$R23=Partite!$G23,Pronostici!$S23=Partite!$H23),Config!$D$6,IF(AND($N23&lt;&gt;"",$N23=Partite!$I23),Config!$D$7,Config!$D$8)))</f>
        <v/>
      </c>
      <c r="J23" s="63">
        <f>IF(Pronostici!$E23&lt;&gt;"",UPPER(Pronostici!$E23),IF(OR(Pronostici!$F23="",Pronostici!$G23=""),"",IF(Pronostici!$F23&gt;Pronostici!$G23,"1",IF(Pronostici!$F23=Pronostici!$G23,"X","2"))))</f>
        <v/>
      </c>
      <c r="K23" s="63">
        <f>IF(Pronostici!$H23&lt;&gt;"",UPPER(Pronostici!$H23),IF(OR(Pronostici!$I23="",Pronostici!$J23=""),"",IF(Pronostici!$I23&gt;Pronostici!$J23,"1",IF(Pronostici!$I23=Pronostici!$J23,"X","2"))))</f>
        <v/>
      </c>
      <c r="L23" s="63">
        <f>IF(Pronostici!$K23&lt;&gt;"",UPPER(Pronostici!$K23),IF(OR(Pronostici!$L23="",Pronostici!$M23=""),"",IF(Pronostici!$L23&gt;Pronostici!$M23,"1",IF(Pronostici!$L23=Pronostici!$M23,"X","2"))))</f>
        <v/>
      </c>
      <c r="M23" s="63">
        <f>IF(Pronostici!$N23&lt;&gt;"",UPPER(Pronostici!$N23),IF(OR(Pronostici!$O23="",Pronostici!$P23=""),"",IF(Pronostici!$O23&gt;Pronostici!$P23,"1",IF(Pronostici!$O23=Pronostici!$P23,"X","2"))))</f>
        <v/>
      </c>
      <c r="N23" s="63">
        <f>IF(Pronostici!$Q23&lt;&gt;"",UPPER(Pronostici!$Q23),IF(OR(Pronostici!$R23="",Pronostici!$S23=""),"",IF(Pronostici!$R23&gt;Pronostici!$S23,"1",IF(Pronostici!$R23=Pronostici!$S23,"X","2"))))</f>
        <v/>
      </c>
    </row>
    <row r="24">
      <c r="A24" s="69">
        <f>Partite!$A24</f>
        <v/>
      </c>
      <c r="B24" s="25">
        <f>Partite!$B24</f>
        <v/>
      </c>
      <c r="C24" s="43">
        <f>IF(Partite!$E24="","",Partite!$E24&amp;"  -  "&amp;Partite!$F24)</f>
        <v/>
      </c>
      <c r="D24" s="22">
        <f>IF(Partite!$K24&lt;&gt;"Giocata","",IF(AND(Pronostici!$F24&lt;&gt;"",Pronostici!$G24&lt;&gt;"",Pronostici!$F24=Partite!$G24,Pronostici!$G24=Partite!$H24),Config!$D$6,IF(AND($J24&lt;&gt;"",$J24=Partite!$I24),Config!$D$7,Config!$D$8)))</f>
        <v/>
      </c>
      <c r="E24" s="22">
        <f>IF(Partite!$K24&lt;&gt;"Giocata","",IF(AND(Pronostici!$I24&lt;&gt;"",Pronostici!$J24&lt;&gt;"",Pronostici!$I24=Partite!$G24,Pronostici!$J24=Partite!$H24),Config!$D$6,IF(AND($K24&lt;&gt;"",$K24=Partite!$I24),Config!$D$7,Config!$D$8)))</f>
        <v/>
      </c>
      <c r="F24" s="22">
        <f>IF(Partite!$K24&lt;&gt;"Giocata","",IF(AND(Pronostici!$L24&lt;&gt;"",Pronostici!$M24&lt;&gt;"",Pronostici!$L24=Partite!$G24,Pronostici!$M24=Partite!$H24),Config!$D$6,IF(AND($L24&lt;&gt;"",$L24=Partite!$I24),Config!$D$7,Config!$D$8)))</f>
        <v/>
      </c>
      <c r="G24" s="22">
        <f>IF(Partite!$K24&lt;&gt;"Giocata","",IF(AND(Pronostici!$O24&lt;&gt;"",Pronostici!$P24&lt;&gt;"",Pronostici!$O24=Partite!$G24,Pronostici!$P24=Partite!$H24),Config!$D$6,IF(AND($M24&lt;&gt;"",$M24=Partite!$I24),Config!$D$7,Config!$D$8)))</f>
        <v/>
      </c>
      <c r="H24" s="22">
        <f>IF(Partite!$K24&lt;&gt;"Giocata","",IF(AND(Pronostici!$R24&lt;&gt;"",Pronostici!$S24&lt;&gt;"",Pronostici!$R24=Partite!$G24,Pronostici!$S24=Partite!$H24),Config!$D$6,IF(AND($N24&lt;&gt;"",$N24=Partite!$I24),Config!$D$7,Config!$D$8)))</f>
        <v/>
      </c>
      <c r="J24" s="63">
        <f>IF(Pronostici!$E24&lt;&gt;"",UPPER(Pronostici!$E24),IF(OR(Pronostici!$F24="",Pronostici!$G24=""),"",IF(Pronostici!$F24&gt;Pronostici!$G24,"1",IF(Pronostici!$F24=Pronostici!$G24,"X","2"))))</f>
        <v/>
      </c>
      <c r="K24" s="63">
        <f>IF(Pronostici!$H24&lt;&gt;"",UPPER(Pronostici!$H24),IF(OR(Pronostici!$I24="",Pronostici!$J24=""),"",IF(Pronostici!$I24&gt;Pronostici!$J24,"1",IF(Pronostici!$I24=Pronostici!$J24,"X","2"))))</f>
        <v/>
      </c>
      <c r="L24" s="63">
        <f>IF(Pronostici!$K24&lt;&gt;"",UPPER(Pronostici!$K24),IF(OR(Pronostici!$L24="",Pronostici!$M24=""),"",IF(Pronostici!$L24&gt;Pronostici!$M24,"1",IF(Pronostici!$L24=Pronostici!$M24,"X","2"))))</f>
        <v/>
      </c>
      <c r="M24" s="63">
        <f>IF(Pronostici!$N24&lt;&gt;"",UPPER(Pronostici!$N24),IF(OR(Pronostici!$O24="",Pronostici!$P24=""),"",IF(Pronostici!$O24&gt;Pronostici!$P24,"1",IF(Pronostici!$O24=Pronostici!$P24,"X","2"))))</f>
        <v/>
      </c>
      <c r="N24" s="63">
        <f>IF(Pronostici!$Q24&lt;&gt;"",UPPER(Pronostici!$Q24),IF(OR(Pronostici!$R24="",Pronostici!$S24=""),"",IF(Pronostici!$R24&gt;Pronostici!$S24,"1",IF(Pronostici!$R24=Pronostici!$S24,"X","2"))))</f>
        <v/>
      </c>
    </row>
    <row r="25">
      <c r="A25" s="69">
        <f>Partite!$A25</f>
        <v/>
      </c>
      <c r="B25" s="25">
        <f>Partite!$B25</f>
        <v/>
      </c>
      <c r="C25" s="43">
        <f>IF(Partite!$E25="","",Partite!$E25&amp;"  -  "&amp;Partite!$F25)</f>
        <v/>
      </c>
      <c r="D25" s="22">
        <f>IF(Partite!$K25&lt;&gt;"Giocata","",IF(AND(Pronostici!$F25&lt;&gt;"",Pronostici!$G25&lt;&gt;"",Pronostici!$F25=Partite!$G25,Pronostici!$G25=Partite!$H25),Config!$D$6,IF(AND($J25&lt;&gt;"",$J25=Partite!$I25),Config!$D$7,Config!$D$8)))</f>
        <v/>
      </c>
      <c r="E25" s="22">
        <f>IF(Partite!$K25&lt;&gt;"Giocata","",IF(AND(Pronostici!$I25&lt;&gt;"",Pronostici!$J25&lt;&gt;"",Pronostici!$I25=Partite!$G25,Pronostici!$J25=Partite!$H25),Config!$D$6,IF(AND($K25&lt;&gt;"",$K25=Partite!$I25),Config!$D$7,Config!$D$8)))</f>
        <v/>
      </c>
      <c r="F25" s="22">
        <f>IF(Partite!$K25&lt;&gt;"Giocata","",IF(AND(Pronostici!$L25&lt;&gt;"",Pronostici!$M25&lt;&gt;"",Pronostici!$L25=Partite!$G25,Pronostici!$M25=Partite!$H25),Config!$D$6,IF(AND($L25&lt;&gt;"",$L25=Partite!$I25),Config!$D$7,Config!$D$8)))</f>
        <v/>
      </c>
      <c r="G25" s="22">
        <f>IF(Partite!$K25&lt;&gt;"Giocata","",IF(AND(Pronostici!$O25&lt;&gt;"",Pronostici!$P25&lt;&gt;"",Pronostici!$O25=Partite!$G25,Pronostici!$P25=Partite!$H25),Config!$D$6,IF(AND($M25&lt;&gt;"",$M25=Partite!$I25),Config!$D$7,Config!$D$8)))</f>
        <v/>
      </c>
      <c r="H25" s="22">
        <f>IF(Partite!$K25&lt;&gt;"Giocata","",IF(AND(Pronostici!$R25&lt;&gt;"",Pronostici!$S25&lt;&gt;"",Pronostici!$R25=Partite!$G25,Pronostici!$S25=Partite!$H25),Config!$D$6,IF(AND($N25&lt;&gt;"",$N25=Partite!$I25),Config!$D$7,Config!$D$8)))</f>
        <v/>
      </c>
      <c r="J25" s="63">
        <f>IF(Pronostici!$E25&lt;&gt;"",UPPER(Pronostici!$E25),IF(OR(Pronostici!$F25="",Pronostici!$G25=""),"",IF(Pronostici!$F25&gt;Pronostici!$G25,"1",IF(Pronostici!$F25=Pronostici!$G25,"X","2"))))</f>
        <v/>
      </c>
      <c r="K25" s="63">
        <f>IF(Pronostici!$H25&lt;&gt;"",UPPER(Pronostici!$H25),IF(OR(Pronostici!$I25="",Pronostici!$J25=""),"",IF(Pronostici!$I25&gt;Pronostici!$J25,"1",IF(Pronostici!$I25=Pronostici!$J25,"X","2"))))</f>
        <v/>
      </c>
      <c r="L25" s="63">
        <f>IF(Pronostici!$K25&lt;&gt;"",UPPER(Pronostici!$K25),IF(OR(Pronostici!$L25="",Pronostici!$M25=""),"",IF(Pronostici!$L25&gt;Pronostici!$M25,"1",IF(Pronostici!$L25=Pronostici!$M25,"X","2"))))</f>
        <v/>
      </c>
      <c r="M25" s="63">
        <f>IF(Pronostici!$N25&lt;&gt;"",UPPER(Pronostici!$N25),IF(OR(Pronostici!$O25="",Pronostici!$P25=""),"",IF(Pronostici!$O25&gt;Pronostici!$P25,"1",IF(Pronostici!$O25=Pronostici!$P25,"X","2"))))</f>
        <v/>
      </c>
      <c r="N25" s="63">
        <f>IF(Pronostici!$Q25&lt;&gt;"",UPPER(Pronostici!$Q25),IF(OR(Pronostici!$R25="",Pronostici!$S25=""),"",IF(Pronostici!$R25&gt;Pronostici!$S25,"1",IF(Pronostici!$R25=Pronostici!$S25,"X","2"))))</f>
        <v/>
      </c>
    </row>
    <row r="26">
      <c r="A26" s="69">
        <f>Partite!$A26</f>
        <v/>
      </c>
      <c r="B26" s="25">
        <f>Partite!$B26</f>
        <v/>
      </c>
      <c r="C26" s="43">
        <f>IF(Partite!$E26="","",Partite!$E26&amp;"  -  "&amp;Partite!$F26)</f>
        <v/>
      </c>
      <c r="D26" s="22">
        <f>IF(Partite!$K26&lt;&gt;"Giocata","",IF(AND(Pronostici!$F26&lt;&gt;"",Pronostici!$G26&lt;&gt;"",Pronostici!$F26=Partite!$G26,Pronostici!$G26=Partite!$H26),Config!$D$6,IF(AND($J26&lt;&gt;"",$J26=Partite!$I26),Config!$D$7,Config!$D$8)))</f>
        <v/>
      </c>
      <c r="E26" s="22">
        <f>IF(Partite!$K26&lt;&gt;"Giocata","",IF(AND(Pronostici!$I26&lt;&gt;"",Pronostici!$J26&lt;&gt;"",Pronostici!$I26=Partite!$G26,Pronostici!$J26=Partite!$H26),Config!$D$6,IF(AND($K26&lt;&gt;"",$K26=Partite!$I26),Config!$D$7,Config!$D$8)))</f>
        <v/>
      </c>
      <c r="F26" s="22">
        <f>IF(Partite!$K26&lt;&gt;"Giocata","",IF(AND(Pronostici!$L26&lt;&gt;"",Pronostici!$M26&lt;&gt;"",Pronostici!$L26=Partite!$G26,Pronostici!$M26=Partite!$H26),Config!$D$6,IF(AND($L26&lt;&gt;"",$L26=Partite!$I26),Config!$D$7,Config!$D$8)))</f>
        <v/>
      </c>
      <c r="G26" s="22">
        <f>IF(Partite!$K26&lt;&gt;"Giocata","",IF(AND(Pronostici!$O26&lt;&gt;"",Pronostici!$P26&lt;&gt;"",Pronostici!$O26=Partite!$G26,Pronostici!$P26=Partite!$H26),Config!$D$6,IF(AND($M26&lt;&gt;"",$M26=Partite!$I26),Config!$D$7,Config!$D$8)))</f>
        <v/>
      </c>
      <c r="H26" s="22">
        <f>IF(Partite!$K26&lt;&gt;"Giocata","",IF(AND(Pronostici!$R26&lt;&gt;"",Pronostici!$S26&lt;&gt;"",Pronostici!$R26=Partite!$G26,Pronostici!$S26=Partite!$H26),Config!$D$6,IF(AND($N26&lt;&gt;"",$N26=Partite!$I26),Config!$D$7,Config!$D$8)))</f>
        <v/>
      </c>
      <c r="J26" s="63">
        <f>IF(Pronostici!$E26&lt;&gt;"",UPPER(Pronostici!$E26),IF(OR(Pronostici!$F26="",Pronostici!$G26=""),"",IF(Pronostici!$F26&gt;Pronostici!$G26,"1",IF(Pronostici!$F26=Pronostici!$G26,"X","2"))))</f>
        <v/>
      </c>
      <c r="K26" s="63">
        <f>IF(Pronostici!$H26&lt;&gt;"",UPPER(Pronostici!$H26),IF(OR(Pronostici!$I26="",Pronostici!$J26=""),"",IF(Pronostici!$I26&gt;Pronostici!$J26,"1",IF(Pronostici!$I26=Pronostici!$J26,"X","2"))))</f>
        <v/>
      </c>
      <c r="L26" s="63">
        <f>IF(Pronostici!$K26&lt;&gt;"",UPPER(Pronostici!$K26),IF(OR(Pronostici!$L26="",Pronostici!$M26=""),"",IF(Pronostici!$L26&gt;Pronostici!$M26,"1",IF(Pronostici!$L26=Pronostici!$M26,"X","2"))))</f>
        <v/>
      </c>
      <c r="M26" s="63">
        <f>IF(Pronostici!$N26&lt;&gt;"",UPPER(Pronostici!$N26),IF(OR(Pronostici!$O26="",Pronostici!$P26=""),"",IF(Pronostici!$O26&gt;Pronostici!$P26,"1",IF(Pronostici!$O26=Pronostici!$P26,"X","2"))))</f>
        <v/>
      </c>
      <c r="N26" s="63">
        <f>IF(Pronostici!$Q26&lt;&gt;"",UPPER(Pronostici!$Q26),IF(OR(Pronostici!$R26="",Pronostici!$S26=""),"",IF(Pronostici!$R26&gt;Pronostici!$S26,"1",IF(Pronostici!$R26=Pronostici!$S26,"X","2"))))</f>
        <v/>
      </c>
    </row>
    <row r="27">
      <c r="A27" s="69">
        <f>Partite!$A27</f>
        <v/>
      </c>
      <c r="B27" s="25">
        <f>Partite!$B27</f>
        <v/>
      </c>
      <c r="C27" s="43">
        <f>IF(Partite!$E27="","",Partite!$E27&amp;"  -  "&amp;Partite!$F27)</f>
        <v/>
      </c>
      <c r="D27" s="22">
        <f>IF(Partite!$K27&lt;&gt;"Giocata","",IF(AND(Pronostici!$F27&lt;&gt;"",Pronostici!$G27&lt;&gt;"",Pronostici!$F27=Partite!$G27,Pronostici!$G27=Partite!$H27),Config!$D$6,IF(AND($J27&lt;&gt;"",$J27=Partite!$I27),Config!$D$7,Config!$D$8)))</f>
        <v/>
      </c>
      <c r="E27" s="22">
        <f>IF(Partite!$K27&lt;&gt;"Giocata","",IF(AND(Pronostici!$I27&lt;&gt;"",Pronostici!$J27&lt;&gt;"",Pronostici!$I27=Partite!$G27,Pronostici!$J27=Partite!$H27),Config!$D$6,IF(AND($K27&lt;&gt;"",$K27=Partite!$I27),Config!$D$7,Config!$D$8)))</f>
        <v/>
      </c>
      <c r="F27" s="22">
        <f>IF(Partite!$K27&lt;&gt;"Giocata","",IF(AND(Pronostici!$L27&lt;&gt;"",Pronostici!$M27&lt;&gt;"",Pronostici!$L27=Partite!$G27,Pronostici!$M27=Partite!$H27),Config!$D$6,IF(AND($L27&lt;&gt;"",$L27=Partite!$I27),Config!$D$7,Config!$D$8)))</f>
        <v/>
      </c>
      <c r="G27" s="22">
        <f>IF(Partite!$K27&lt;&gt;"Giocata","",IF(AND(Pronostici!$O27&lt;&gt;"",Pronostici!$P27&lt;&gt;"",Pronostici!$O27=Partite!$G27,Pronostici!$P27=Partite!$H27),Config!$D$6,IF(AND($M27&lt;&gt;"",$M27=Partite!$I27),Config!$D$7,Config!$D$8)))</f>
        <v/>
      </c>
      <c r="H27" s="22">
        <f>IF(Partite!$K27&lt;&gt;"Giocata","",IF(AND(Pronostici!$R27&lt;&gt;"",Pronostici!$S27&lt;&gt;"",Pronostici!$R27=Partite!$G27,Pronostici!$S27=Partite!$H27),Config!$D$6,IF(AND($N27&lt;&gt;"",$N27=Partite!$I27),Config!$D$7,Config!$D$8)))</f>
        <v/>
      </c>
      <c r="J27" s="63">
        <f>IF(Pronostici!$E27&lt;&gt;"",UPPER(Pronostici!$E27),IF(OR(Pronostici!$F27="",Pronostici!$G27=""),"",IF(Pronostici!$F27&gt;Pronostici!$G27,"1",IF(Pronostici!$F27=Pronostici!$G27,"X","2"))))</f>
        <v/>
      </c>
      <c r="K27" s="63">
        <f>IF(Pronostici!$H27&lt;&gt;"",UPPER(Pronostici!$H27),IF(OR(Pronostici!$I27="",Pronostici!$J27=""),"",IF(Pronostici!$I27&gt;Pronostici!$J27,"1",IF(Pronostici!$I27=Pronostici!$J27,"X","2"))))</f>
        <v/>
      </c>
      <c r="L27" s="63">
        <f>IF(Pronostici!$K27&lt;&gt;"",UPPER(Pronostici!$K27),IF(OR(Pronostici!$L27="",Pronostici!$M27=""),"",IF(Pronostici!$L27&gt;Pronostici!$M27,"1",IF(Pronostici!$L27=Pronostici!$M27,"X","2"))))</f>
        <v/>
      </c>
      <c r="M27" s="63">
        <f>IF(Pronostici!$N27&lt;&gt;"",UPPER(Pronostici!$N27),IF(OR(Pronostici!$O27="",Pronostici!$P27=""),"",IF(Pronostici!$O27&gt;Pronostici!$P27,"1",IF(Pronostici!$O27=Pronostici!$P27,"X","2"))))</f>
        <v/>
      </c>
      <c r="N27" s="63">
        <f>IF(Pronostici!$Q27&lt;&gt;"",UPPER(Pronostici!$Q27),IF(OR(Pronostici!$R27="",Pronostici!$S27=""),"",IF(Pronostici!$R27&gt;Pronostici!$S27,"1",IF(Pronostici!$R27=Pronostici!$S27,"X","2"))))</f>
        <v/>
      </c>
    </row>
    <row r="28">
      <c r="A28" s="69">
        <f>Partite!$A28</f>
        <v/>
      </c>
      <c r="B28" s="25">
        <f>Partite!$B28</f>
        <v/>
      </c>
      <c r="C28" s="43">
        <f>IF(Partite!$E28="","",Partite!$E28&amp;"  -  "&amp;Partite!$F28)</f>
        <v/>
      </c>
      <c r="D28" s="22">
        <f>IF(Partite!$K28&lt;&gt;"Giocata","",IF(AND(Pronostici!$F28&lt;&gt;"",Pronostici!$G28&lt;&gt;"",Pronostici!$F28=Partite!$G28,Pronostici!$G28=Partite!$H28),Config!$D$6,IF(AND($J28&lt;&gt;"",$J28=Partite!$I28),Config!$D$7,Config!$D$8)))</f>
        <v/>
      </c>
      <c r="E28" s="22">
        <f>IF(Partite!$K28&lt;&gt;"Giocata","",IF(AND(Pronostici!$I28&lt;&gt;"",Pronostici!$J28&lt;&gt;"",Pronostici!$I28=Partite!$G28,Pronostici!$J28=Partite!$H28),Config!$D$6,IF(AND($K28&lt;&gt;"",$K28=Partite!$I28),Config!$D$7,Config!$D$8)))</f>
        <v/>
      </c>
      <c r="F28" s="22">
        <f>IF(Partite!$K28&lt;&gt;"Giocata","",IF(AND(Pronostici!$L28&lt;&gt;"",Pronostici!$M28&lt;&gt;"",Pronostici!$L28=Partite!$G28,Pronostici!$M28=Partite!$H28),Config!$D$6,IF(AND($L28&lt;&gt;"",$L28=Partite!$I28),Config!$D$7,Config!$D$8)))</f>
        <v/>
      </c>
      <c r="G28" s="22">
        <f>IF(Partite!$K28&lt;&gt;"Giocata","",IF(AND(Pronostici!$O28&lt;&gt;"",Pronostici!$P28&lt;&gt;"",Pronostici!$O28=Partite!$G28,Pronostici!$P28=Partite!$H28),Config!$D$6,IF(AND($M28&lt;&gt;"",$M28=Partite!$I28),Config!$D$7,Config!$D$8)))</f>
        <v/>
      </c>
      <c r="H28" s="22">
        <f>IF(Partite!$K28&lt;&gt;"Giocata","",IF(AND(Pronostici!$R28&lt;&gt;"",Pronostici!$S28&lt;&gt;"",Pronostici!$R28=Partite!$G28,Pronostici!$S28=Partite!$H28),Config!$D$6,IF(AND($N28&lt;&gt;"",$N28=Partite!$I28),Config!$D$7,Config!$D$8)))</f>
        <v/>
      </c>
      <c r="J28" s="63">
        <f>IF(Pronostici!$E28&lt;&gt;"",UPPER(Pronostici!$E28),IF(OR(Pronostici!$F28="",Pronostici!$G28=""),"",IF(Pronostici!$F28&gt;Pronostici!$G28,"1",IF(Pronostici!$F28=Pronostici!$G28,"X","2"))))</f>
        <v/>
      </c>
      <c r="K28" s="63">
        <f>IF(Pronostici!$H28&lt;&gt;"",UPPER(Pronostici!$H28),IF(OR(Pronostici!$I28="",Pronostici!$J28=""),"",IF(Pronostici!$I28&gt;Pronostici!$J28,"1",IF(Pronostici!$I28=Pronostici!$J28,"X","2"))))</f>
        <v/>
      </c>
      <c r="L28" s="63">
        <f>IF(Pronostici!$K28&lt;&gt;"",UPPER(Pronostici!$K28),IF(OR(Pronostici!$L28="",Pronostici!$M28=""),"",IF(Pronostici!$L28&gt;Pronostici!$M28,"1",IF(Pronostici!$L28=Pronostici!$M28,"X","2"))))</f>
        <v/>
      </c>
      <c r="M28" s="63">
        <f>IF(Pronostici!$N28&lt;&gt;"",UPPER(Pronostici!$N28),IF(OR(Pronostici!$O28="",Pronostici!$P28=""),"",IF(Pronostici!$O28&gt;Pronostici!$P28,"1",IF(Pronostici!$O28=Pronostici!$P28,"X","2"))))</f>
        <v/>
      </c>
      <c r="N28" s="63">
        <f>IF(Pronostici!$Q28&lt;&gt;"",UPPER(Pronostici!$Q28),IF(OR(Pronostici!$R28="",Pronostici!$S28=""),"",IF(Pronostici!$R28&gt;Pronostici!$S28,"1",IF(Pronostici!$R28=Pronostici!$S28,"X","2"))))</f>
        <v/>
      </c>
    </row>
    <row r="29">
      <c r="A29" s="69">
        <f>Partite!$A29</f>
        <v/>
      </c>
      <c r="B29" s="25">
        <f>Partite!$B29</f>
        <v/>
      </c>
      <c r="C29" s="43">
        <f>IF(Partite!$E29="","",Partite!$E29&amp;"  -  "&amp;Partite!$F29)</f>
        <v/>
      </c>
      <c r="D29" s="22">
        <f>IF(Partite!$K29&lt;&gt;"Giocata","",IF(AND(Pronostici!$F29&lt;&gt;"",Pronostici!$G29&lt;&gt;"",Pronostici!$F29=Partite!$G29,Pronostici!$G29=Partite!$H29),Config!$D$6,IF(AND($J29&lt;&gt;"",$J29=Partite!$I29),Config!$D$7,Config!$D$8)))</f>
        <v/>
      </c>
      <c r="E29" s="22">
        <f>IF(Partite!$K29&lt;&gt;"Giocata","",IF(AND(Pronostici!$I29&lt;&gt;"",Pronostici!$J29&lt;&gt;"",Pronostici!$I29=Partite!$G29,Pronostici!$J29=Partite!$H29),Config!$D$6,IF(AND($K29&lt;&gt;"",$K29=Partite!$I29),Config!$D$7,Config!$D$8)))</f>
        <v/>
      </c>
      <c r="F29" s="22">
        <f>IF(Partite!$K29&lt;&gt;"Giocata","",IF(AND(Pronostici!$L29&lt;&gt;"",Pronostici!$M29&lt;&gt;"",Pronostici!$L29=Partite!$G29,Pronostici!$M29=Partite!$H29),Config!$D$6,IF(AND($L29&lt;&gt;"",$L29=Partite!$I29),Config!$D$7,Config!$D$8)))</f>
        <v/>
      </c>
      <c r="G29" s="22">
        <f>IF(Partite!$K29&lt;&gt;"Giocata","",IF(AND(Pronostici!$O29&lt;&gt;"",Pronostici!$P29&lt;&gt;"",Pronostici!$O29=Partite!$G29,Pronostici!$P29=Partite!$H29),Config!$D$6,IF(AND($M29&lt;&gt;"",$M29=Partite!$I29),Config!$D$7,Config!$D$8)))</f>
        <v/>
      </c>
      <c r="H29" s="22">
        <f>IF(Partite!$K29&lt;&gt;"Giocata","",IF(AND(Pronostici!$R29&lt;&gt;"",Pronostici!$S29&lt;&gt;"",Pronostici!$R29=Partite!$G29,Pronostici!$S29=Partite!$H29),Config!$D$6,IF(AND($N29&lt;&gt;"",$N29=Partite!$I29),Config!$D$7,Config!$D$8)))</f>
        <v/>
      </c>
      <c r="J29" s="63">
        <f>IF(Pronostici!$E29&lt;&gt;"",UPPER(Pronostici!$E29),IF(OR(Pronostici!$F29="",Pronostici!$G29=""),"",IF(Pronostici!$F29&gt;Pronostici!$G29,"1",IF(Pronostici!$F29=Pronostici!$G29,"X","2"))))</f>
        <v/>
      </c>
      <c r="K29" s="63">
        <f>IF(Pronostici!$H29&lt;&gt;"",UPPER(Pronostici!$H29),IF(OR(Pronostici!$I29="",Pronostici!$J29=""),"",IF(Pronostici!$I29&gt;Pronostici!$J29,"1",IF(Pronostici!$I29=Pronostici!$J29,"X","2"))))</f>
        <v/>
      </c>
      <c r="L29" s="63">
        <f>IF(Pronostici!$K29&lt;&gt;"",UPPER(Pronostici!$K29),IF(OR(Pronostici!$L29="",Pronostici!$M29=""),"",IF(Pronostici!$L29&gt;Pronostici!$M29,"1",IF(Pronostici!$L29=Pronostici!$M29,"X","2"))))</f>
        <v/>
      </c>
      <c r="M29" s="63">
        <f>IF(Pronostici!$N29&lt;&gt;"",UPPER(Pronostici!$N29),IF(OR(Pronostici!$O29="",Pronostici!$P29=""),"",IF(Pronostici!$O29&gt;Pronostici!$P29,"1",IF(Pronostici!$O29=Pronostici!$P29,"X","2"))))</f>
        <v/>
      </c>
      <c r="N29" s="63">
        <f>IF(Pronostici!$Q29&lt;&gt;"",UPPER(Pronostici!$Q29),IF(OR(Pronostici!$R29="",Pronostici!$S29=""),"",IF(Pronostici!$R29&gt;Pronostici!$S29,"1",IF(Pronostici!$R29=Pronostici!$S29,"X","2"))))</f>
        <v/>
      </c>
    </row>
    <row r="30">
      <c r="A30" s="69">
        <f>Partite!$A30</f>
        <v/>
      </c>
      <c r="B30" s="25">
        <f>Partite!$B30</f>
        <v/>
      </c>
      <c r="C30" s="43">
        <f>IF(Partite!$E30="","",Partite!$E30&amp;"  -  "&amp;Partite!$F30)</f>
        <v/>
      </c>
      <c r="D30" s="22">
        <f>IF(Partite!$K30&lt;&gt;"Giocata","",IF(AND(Pronostici!$F30&lt;&gt;"",Pronostici!$G30&lt;&gt;"",Pronostici!$F30=Partite!$G30,Pronostici!$G30=Partite!$H30),Config!$D$6,IF(AND($J30&lt;&gt;"",$J30=Partite!$I30),Config!$D$7,Config!$D$8)))</f>
        <v/>
      </c>
      <c r="E30" s="22">
        <f>IF(Partite!$K30&lt;&gt;"Giocata","",IF(AND(Pronostici!$I30&lt;&gt;"",Pronostici!$J30&lt;&gt;"",Pronostici!$I30=Partite!$G30,Pronostici!$J30=Partite!$H30),Config!$D$6,IF(AND($K30&lt;&gt;"",$K30=Partite!$I30),Config!$D$7,Config!$D$8)))</f>
        <v/>
      </c>
      <c r="F30" s="22">
        <f>IF(Partite!$K30&lt;&gt;"Giocata","",IF(AND(Pronostici!$L30&lt;&gt;"",Pronostici!$M30&lt;&gt;"",Pronostici!$L30=Partite!$G30,Pronostici!$M30=Partite!$H30),Config!$D$6,IF(AND($L30&lt;&gt;"",$L30=Partite!$I30),Config!$D$7,Config!$D$8)))</f>
        <v/>
      </c>
      <c r="G30" s="22">
        <f>IF(Partite!$K30&lt;&gt;"Giocata","",IF(AND(Pronostici!$O30&lt;&gt;"",Pronostici!$P30&lt;&gt;"",Pronostici!$O30=Partite!$G30,Pronostici!$P30=Partite!$H30),Config!$D$6,IF(AND($M30&lt;&gt;"",$M30=Partite!$I30),Config!$D$7,Config!$D$8)))</f>
        <v/>
      </c>
      <c r="H30" s="22">
        <f>IF(Partite!$K30&lt;&gt;"Giocata","",IF(AND(Pronostici!$R30&lt;&gt;"",Pronostici!$S30&lt;&gt;"",Pronostici!$R30=Partite!$G30,Pronostici!$S30=Partite!$H30),Config!$D$6,IF(AND($N30&lt;&gt;"",$N30=Partite!$I30),Config!$D$7,Config!$D$8)))</f>
        <v/>
      </c>
      <c r="J30" s="63">
        <f>IF(Pronostici!$E30&lt;&gt;"",UPPER(Pronostici!$E30),IF(OR(Pronostici!$F30="",Pronostici!$G30=""),"",IF(Pronostici!$F30&gt;Pronostici!$G30,"1",IF(Pronostici!$F30=Pronostici!$G30,"X","2"))))</f>
        <v/>
      </c>
      <c r="K30" s="63">
        <f>IF(Pronostici!$H30&lt;&gt;"",UPPER(Pronostici!$H30),IF(OR(Pronostici!$I30="",Pronostici!$J30=""),"",IF(Pronostici!$I30&gt;Pronostici!$J30,"1",IF(Pronostici!$I30=Pronostici!$J30,"X","2"))))</f>
        <v/>
      </c>
      <c r="L30" s="63">
        <f>IF(Pronostici!$K30&lt;&gt;"",UPPER(Pronostici!$K30),IF(OR(Pronostici!$L30="",Pronostici!$M30=""),"",IF(Pronostici!$L30&gt;Pronostici!$M30,"1",IF(Pronostici!$L30=Pronostici!$M30,"X","2"))))</f>
        <v/>
      </c>
      <c r="M30" s="63">
        <f>IF(Pronostici!$N30&lt;&gt;"",UPPER(Pronostici!$N30),IF(OR(Pronostici!$O30="",Pronostici!$P30=""),"",IF(Pronostici!$O30&gt;Pronostici!$P30,"1",IF(Pronostici!$O30=Pronostici!$P30,"X","2"))))</f>
        <v/>
      </c>
      <c r="N30" s="63">
        <f>IF(Pronostici!$Q30&lt;&gt;"",UPPER(Pronostici!$Q30),IF(OR(Pronostici!$R30="",Pronostici!$S30=""),"",IF(Pronostici!$R30&gt;Pronostici!$S30,"1",IF(Pronostici!$R30=Pronostici!$S30,"X","2"))))</f>
        <v/>
      </c>
    </row>
    <row r="31">
      <c r="A31" s="69">
        <f>Partite!$A31</f>
        <v/>
      </c>
      <c r="B31" s="25">
        <f>Partite!$B31</f>
        <v/>
      </c>
      <c r="C31" s="43">
        <f>IF(Partite!$E31="","",Partite!$E31&amp;"  -  "&amp;Partite!$F31)</f>
        <v/>
      </c>
      <c r="D31" s="22">
        <f>IF(Partite!$K31&lt;&gt;"Giocata","",IF(AND(Pronostici!$F31&lt;&gt;"",Pronostici!$G31&lt;&gt;"",Pronostici!$F31=Partite!$G31,Pronostici!$G31=Partite!$H31),Config!$D$6,IF(AND($J31&lt;&gt;"",$J31=Partite!$I31),Config!$D$7,Config!$D$8)))</f>
        <v/>
      </c>
      <c r="E31" s="22">
        <f>IF(Partite!$K31&lt;&gt;"Giocata","",IF(AND(Pronostici!$I31&lt;&gt;"",Pronostici!$J31&lt;&gt;"",Pronostici!$I31=Partite!$G31,Pronostici!$J31=Partite!$H31),Config!$D$6,IF(AND($K31&lt;&gt;"",$K31=Partite!$I31),Config!$D$7,Config!$D$8)))</f>
        <v/>
      </c>
      <c r="F31" s="22">
        <f>IF(Partite!$K31&lt;&gt;"Giocata","",IF(AND(Pronostici!$L31&lt;&gt;"",Pronostici!$M31&lt;&gt;"",Pronostici!$L31=Partite!$G31,Pronostici!$M31=Partite!$H31),Config!$D$6,IF(AND($L31&lt;&gt;"",$L31=Partite!$I31),Config!$D$7,Config!$D$8)))</f>
        <v/>
      </c>
      <c r="G31" s="22">
        <f>IF(Partite!$K31&lt;&gt;"Giocata","",IF(AND(Pronostici!$O31&lt;&gt;"",Pronostici!$P31&lt;&gt;"",Pronostici!$O31=Partite!$G31,Pronostici!$P31=Partite!$H31),Config!$D$6,IF(AND($M31&lt;&gt;"",$M31=Partite!$I31),Config!$D$7,Config!$D$8)))</f>
        <v/>
      </c>
      <c r="H31" s="22">
        <f>IF(Partite!$K31&lt;&gt;"Giocata","",IF(AND(Pronostici!$R31&lt;&gt;"",Pronostici!$S31&lt;&gt;"",Pronostici!$R31=Partite!$G31,Pronostici!$S31=Partite!$H31),Config!$D$6,IF(AND($N31&lt;&gt;"",$N31=Partite!$I31),Config!$D$7,Config!$D$8)))</f>
        <v/>
      </c>
      <c r="J31" s="63">
        <f>IF(Pronostici!$E31&lt;&gt;"",UPPER(Pronostici!$E31),IF(OR(Pronostici!$F31="",Pronostici!$G31=""),"",IF(Pronostici!$F31&gt;Pronostici!$G31,"1",IF(Pronostici!$F31=Pronostici!$G31,"X","2"))))</f>
        <v/>
      </c>
      <c r="K31" s="63">
        <f>IF(Pronostici!$H31&lt;&gt;"",UPPER(Pronostici!$H31),IF(OR(Pronostici!$I31="",Pronostici!$J31=""),"",IF(Pronostici!$I31&gt;Pronostici!$J31,"1",IF(Pronostici!$I31=Pronostici!$J31,"X","2"))))</f>
        <v/>
      </c>
      <c r="L31" s="63">
        <f>IF(Pronostici!$K31&lt;&gt;"",UPPER(Pronostici!$K31),IF(OR(Pronostici!$L31="",Pronostici!$M31=""),"",IF(Pronostici!$L31&gt;Pronostici!$M31,"1",IF(Pronostici!$L31=Pronostici!$M31,"X","2"))))</f>
        <v/>
      </c>
      <c r="M31" s="63">
        <f>IF(Pronostici!$N31&lt;&gt;"",UPPER(Pronostici!$N31),IF(OR(Pronostici!$O31="",Pronostici!$P31=""),"",IF(Pronostici!$O31&gt;Pronostici!$P31,"1",IF(Pronostici!$O31=Pronostici!$P31,"X","2"))))</f>
        <v/>
      </c>
      <c r="N31" s="63">
        <f>IF(Pronostici!$Q31&lt;&gt;"",UPPER(Pronostici!$Q31),IF(OR(Pronostici!$R31="",Pronostici!$S31=""),"",IF(Pronostici!$R31&gt;Pronostici!$S31,"1",IF(Pronostici!$R31=Pronostici!$S31,"X","2"))))</f>
        <v/>
      </c>
    </row>
    <row r="32">
      <c r="A32" s="69">
        <f>Partite!$A32</f>
        <v/>
      </c>
      <c r="B32" s="25">
        <f>Partite!$B32</f>
        <v/>
      </c>
      <c r="C32" s="43">
        <f>IF(Partite!$E32="","",Partite!$E32&amp;"  -  "&amp;Partite!$F32)</f>
        <v/>
      </c>
      <c r="D32" s="22">
        <f>IF(Partite!$K32&lt;&gt;"Giocata","",IF(AND(Pronostici!$F32&lt;&gt;"",Pronostici!$G32&lt;&gt;"",Pronostici!$F32=Partite!$G32,Pronostici!$G32=Partite!$H32),Config!$D$6,IF(AND($J32&lt;&gt;"",$J32=Partite!$I32),Config!$D$7,Config!$D$8)))</f>
        <v/>
      </c>
      <c r="E32" s="22">
        <f>IF(Partite!$K32&lt;&gt;"Giocata","",IF(AND(Pronostici!$I32&lt;&gt;"",Pronostici!$J32&lt;&gt;"",Pronostici!$I32=Partite!$G32,Pronostici!$J32=Partite!$H32),Config!$D$6,IF(AND($K32&lt;&gt;"",$K32=Partite!$I32),Config!$D$7,Config!$D$8)))</f>
        <v/>
      </c>
      <c r="F32" s="22">
        <f>IF(Partite!$K32&lt;&gt;"Giocata","",IF(AND(Pronostici!$L32&lt;&gt;"",Pronostici!$M32&lt;&gt;"",Pronostici!$L32=Partite!$G32,Pronostici!$M32=Partite!$H32),Config!$D$6,IF(AND($L32&lt;&gt;"",$L32=Partite!$I32),Config!$D$7,Config!$D$8)))</f>
        <v/>
      </c>
      <c r="G32" s="22">
        <f>IF(Partite!$K32&lt;&gt;"Giocata","",IF(AND(Pronostici!$O32&lt;&gt;"",Pronostici!$P32&lt;&gt;"",Pronostici!$O32=Partite!$G32,Pronostici!$P32=Partite!$H32),Config!$D$6,IF(AND($M32&lt;&gt;"",$M32=Partite!$I32),Config!$D$7,Config!$D$8)))</f>
        <v/>
      </c>
      <c r="H32" s="22">
        <f>IF(Partite!$K32&lt;&gt;"Giocata","",IF(AND(Pronostici!$R32&lt;&gt;"",Pronostici!$S32&lt;&gt;"",Pronostici!$R32=Partite!$G32,Pronostici!$S32=Partite!$H32),Config!$D$6,IF(AND($N32&lt;&gt;"",$N32=Partite!$I32),Config!$D$7,Config!$D$8)))</f>
        <v/>
      </c>
      <c r="J32" s="63">
        <f>IF(Pronostici!$E32&lt;&gt;"",UPPER(Pronostici!$E32),IF(OR(Pronostici!$F32="",Pronostici!$G32=""),"",IF(Pronostici!$F32&gt;Pronostici!$G32,"1",IF(Pronostici!$F32=Pronostici!$G32,"X","2"))))</f>
        <v/>
      </c>
      <c r="K32" s="63">
        <f>IF(Pronostici!$H32&lt;&gt;"",UPPER(Pronostici!$H32),IF(OR(Pronostici!$I32="",Pronostici!$J32=""),"",IF(Pronostici!$I32&gt;Pronostici!$J32,"1",IF(Pronostici!$I32=Pronostici!$J32,"X","2"))))</f>
        <v/>
      </c>
      <c r="L32" s="63">
        <f>IF(Pronostici!$K32&lt;&gt;"",UPPER(Pronostici!$K32),IF(OR(Pronostici!$L32="",Pronostici!$M32=""),"",IF(Pronostici!$L32&gt;Pronostici!$M32,"1",IF(Pronostici!$L32=Pronostici!$M32,"X","2"))))</f>
        <v/>
      </c>
      <c r="M32" s="63">
        <f>IF(Pronostici!$N32&lt;&gt;"",UPPER(Pronostici!$N32),IF(OR(Pronostici!$O32="",Pronostici!$P32=""),"",IF(Pronostici!$O32&gt;Pronostici!$P32,"1",IF(Pronostici!$O32=Pronostici!$P32,"X","2"))))</f>
        <v/>
      </c>
      <c r="N32" s="63">
        <f>IF(Pronostici!$Q32&lt;&gt;"",UPPER(Pronostici!$Q32),IF(OR(Pronostici!$R32="",Pronostici!$S32=""),"",IF(Pronostici!$R32&gt;Pronostici!$S32,"1",IF(Pronostici!$R32=Pronostici!$S32,"X","2"))))</f>
        <v/>
      </c>
    </row>
    <row r="33">
      <c r="A33" s="74">
        <f>Partite!$A33</f>
        <v/>
      </c>
      <c r="B33" s="30">
        <f>Partite!$B33</f>
        <v/>
      </c>
      <c r="C33" s="47">
        <f>IF(Partite!$E33="","",Partite!$E33&amp;"  -  "&amp;Partite!$F33)</f>
        <v/>
      </c>
      <c r="D33" s="27">
        <f>IF(Partite!$K33&lt;&gt;"Giocata","",IF(AND(Pronostici!$F33&lt;&gt;"",Pronostici!$G33&lt;&gt;"",Pronostici!$F33=Partite!$G33,Pronostici!$G33=Partite!$H33),Config!$D$6,IF(AND($J33&lt;&gt;"",$J33=Partite!$I33),Config!$D$7,Config!$D$8)))</f>
        <v/>
      </c>
      <c r="E33" s="27">
        <f>IF(Partite!$K33&lt;&gt;"Giocata","",IF(AND(Pronostici!$I33&lt;&gt;"",Pronostici!$J33&lt;&gt;"",Pronostici!$I33=Partite!$G33,Pronostici!$J33=Partite!$H33),Config!$D$6,IF(AND($K33&lt;&gt;"",$K33=Partite!$I33),Config!$D$7,Config!$D$8)))</f>
        <v/>
      </c>
      <c r="F33" s="27">
        <f>IF(Partite!$K33&lt;&gt;"Giocata","",IF(AND(Pronostici!$L33&lt;&gt;"",Pronostici!$M33&lt;&gt;"",Pronostici!$L33=Partite!$G33,Pronostici!$M33=Partite!$H33),Config!$D$6,IF(AND($L33&lt;&gt;"",$L33=Partite!$I33),Config!$D$7,Config!$D$8)))</f>
        <v/>
      </c>
      <c r="G33" s="27">
        <f>IF(Partite!$K33&lt;&gt;"Giocata","",IF(AND(Pronostici!$O33&lt;&gt;"",Pronostici!$P33&lt;&gt;"",Pronostici!$O33=Partite!$G33,Pronostici!$P33=Partite!$H33),Config!$D$6,IF(AND($M33&lt;&gt;"",$M33=Partite!$I33),Config!$D$7,Config!$D$8)))</f>
        <v/>
      </c>
      <c r="H33" s="27">
        <f>IF(Partite!$K33&lt;&gt;"Giocata","",IF(AND(Pronostici!$R33&lt;&gt;"",Pronostici!$S33&lt;&gt;"",Pronostici!$R33=Partite!$G33,Pronostici!$S33=Partite!$H33),Config!$D$6,IF(AND($N33&lt;&gt;"",$N33=Partite!$I33),Config!$D$7,Config!$D$8)))</f>
        <v/>
      </c>
      <c r="J33" s="63">
        <f>IF(Pronostici!$E33&lt;&gt;"",UPPER(Pronostici!$E33),IF(OR(Pronostici!$F33="",Pronostici!$G33=""),"",IF(Pronostici!$F33&gt;Pronostici!$G33,"1",IF(Pronostici!$F33=Pronostici!$G33,"X","2"))))</f>
        <v/>
      </c>
      <c r="K33" s="63">
        <f>IF(Pronostici!$H33&lt;&gt;"",UPPER(Pronostici!$H33),IF(OR(Pronostici!$I33="",Pronostici!$J33=""),"",IF(Pronostici!$I33&gt;Pronostici!$J33,"1",IF(Pronostici!$I33=Pronostici!$J33,"X","2"))))</f>
        <v/>
      </c>
      <c r="L33" s="63">
        <f>IF(Pronostici!$K33&lt;&gt;"",UPPER(Pronostici!$K33),IF(OR(Pronostici!$L33="",Pronostici!$M33=""),"",IF(Pronostici!$L33&gt;Pronostici!$M33,"1",IF(Pronostici!$L33=Pronostici!$M33,"X","2"))))</f>
        <v/>
      </c>
      <c r="M33" s="63">
        <f>IF(Pronostici!$N33&lt;&gt;"",UPPER(Pronostici!$N33),IF(OR(Pronostici!$O33="",Pronostici!$P33=""),"",IF(Pronostici!$O33&gt;Pronostici!$P33,"1",IF(Pronostici!$O33=Pronostici!$P33,"X","2"))))</f>
        <v/>
      </c>
      <c r="N33" s="63">
        <f>IF(Pronostici!$Q33&lt;&gt;"",UPPER(Pronostici!$Q33),IF(OR(Pronostici!$R33="",Pronostici!$S33=""),"",IF(Pronostici!$R33&gt;Pronostici!$S33,"1",IF(Pronostici!$R33=Pronostici!$S33,"X","2"))))</f>
        <v/>
      </c>
    </row>
    <row r="34">
      <c r="A34" s="74">
        <f>Partite!$A34</f>
        <v/>
      </c>
      <c r="B34" s="30">
        <f>Partite!$B34</f>
        <v/>
      </c>
      <c r="C34" s="47">
        <f>IF(Partite!$E34="","",Partite!$E34&amp;"  -  "&amp;Partite!$F34)</f>
        <v/>
      </c>
      <c r="D34" s="27">
        <f>IF(Partite!$K34&lt;&gt;"Giocata","",IF(AND(Pronostici!$F34&lt;&gt;"",Pronostici!$G34&lt;&gt;"",Pronostici!$F34=Partite!$G34,Pronostici!$G34=Partite!$H34),Config!$D$6,IF(AND($J34&lt;&gt;"",$J34=Partite!$I34),Config!$D$7,Config!$D$8)))</f>
        <v/>
      </c>
      <c r="E34" s="27">
        <f>IF(Partite!$K34&lt;&gt;"Giocata","",IF(AND(Pronostici!$I34&lt;&gt;"",Pronostici!$J34&lt;&gt;"",Pronostici!$I34=Partite!$G34,Pronostici!$J34=Partite!$H34),Config!$D$6,IF(AND($K34&lt;&gt;"",$K34=Partite!$I34),Config!$D$7,Config!$D$8)))</f>
        <v/>
      </c>
      <c r="F34" s="27">
        <f>IF(Partite!$K34&lt;&gt;"Giocata","",IF(AND(Pronostici!$L34&lt;&gt;"",Pronostici!$M34&lt;&gt;"",Pronostici!$L34=Partite!$G34,Pronostici!$M34=Partite!$H34),Config!$D$6,IF(AND($L34&lt;&gt;"",$L34=Partite!$I34),Config!$D$7,Config!$D$8)))</f>
        <v/>
      </c>
      <c r="G34" s="27">
        <f>IF(Partite!$K34&lt;&gt;"Giocata","",IF(AND(Pronostici!$O34&lt;&gt;"",Pronostici!$P34&lt;&gt;"",Pronostici!$O34=Partite!$G34,Pronostici!$P34=Partite!$H34),Config!$D$6,IF(AND($M34&lt;&gt;"",$M34=Partite!$I34),Config!$D$7,Config!$D$8)))</f>
        <v/>
      </c>
      <c r="H34" s="27">
        <f>IF(Partite!$K34&lt;&gt;"Giocata","",IF(AND(Pronostici!$R34&lt;&gt;"",Pronostici!$S34&lt;&gt;"",Pronostici!$R34=Partite!$G34,Pronostici!$S34=Partite!$H34),Config!$D$6,IF(AND($N34&lt;&gt;"",$N34=Partite!$I34),Config!$D$7,Config!$D$8)))</f>
        <v/>
      </c>
      <c r="J34" s="63">
        <f>IF(Pronostici!$E34&lt;&gt;"",UPPER(Pronostici!$E34),IF(OR(Pronostici!$F34="",Pronostici!$G34=""),"",IF(Pronostici!$F34&gt;Pronostici!$G34,"1",IF(Pronostici!$F34=Pronostici!$G34,"X","2"))))</f>
        <v/>
      </c>
      <c r="K34" s="63">
        <f>IF(Pronostici!$H34&lt;&gt;"",UPPER(Pronostici!$H34),IF(OR(Pronostici!$I34="",Pronostici!$J34=""),"",IF(Pronostici!$I34&gt;Pronostici!$J34,"1",IF(Pronostici!$I34=Pronostici!$J34,"X","2"))))</f>
        <v/>
      </c>
      <c r="L34" s="63">
        <f>IF(Pronostici!$K34&lt;&gt;"",UPPER(Pronostici!$K34),IF(OR(Pronostici!$L34="",Pronostici!$M34=""),"",IF(Pronostici!$L34&gt;Pronostici!$M34,"1",IF(Pronostici!$L34=Pronostici!$M34,"X","2"))))</f>
        <v/>
      </c>
      <c r="M34" s="63">
        <f>IF(Pronostici!$N34&lt;&gt;"",UPPER(Pronostici!$N34),IF(OR(Pronostici!$O34="",Pronostici!$P34=""),"",IF(Pronostici!$O34&gt;Pronostici!$P34,"1",IF(Pronostici!$O34=Pronostici!$P34,"X","2"))))</f>
        <v/>
      </c>
      <c r="N34" s="63">
        <f>IF(Pronostici!$Q34&lt;&gt;"",UPPER(Pronostici!$Q34),IF(OR(Pronostici!$R34="",Pronostici!$S34=""),"",IF(Pronostici!$R34&gt;Pronostici!$S34,"1",IF(Pronostici!$R34=Pronostici!$S34,"X","2"))))</f>
        <v/>
      </c>
    </row>
    <row r="35">
      <c r="A35" s="74">
        <f>Partite!$A35</f>
        <v/>
      </c>
      <c r="B35" s="30">
        <f>Partite!$B35</f>
        <v/>
      </c>
      <c r="C35" s="47">
        <f>IF(Partite!$E35="","",Partite!$E35&amp;"  -  "&amp;Partite!$F35)</f>
        <v/>
      </c>
      <c r="D35" s="27">
        <f>IF(Partite!$K35&lt;&gt;"Giocata","",IF(AND(Pronostici!$F35&lt;&gt;"",Pronostici!$G35&lt;&gt;"",Pronostici!$F35=Partite!$G35,Pronostici!$G35=Partite!$H35),Config!$D$6,IF(AND($J35&lt;&gt;"",$J35=Partite!$I35),Config!$D$7,Config!$D$8)))</f>
        <v/>
      </c>
      <c r="E35" s="27">
        <f>IF(Partite!$K35&lt;&gt;"Giocata","",IF(AND(Pronostici!$I35&lt;&gt;"",Pronostici!$J35&lt;&gt;"",Pronostici!$I35=Partite!$G35,Pronostici!$J35=Partite!$H35),Config!$D$6,IF(AND($K35&lt;&gt;"",$K35=Partite!$I35),Config!$D$7,Config!$D$8)))</f>
        <v/>
      </c>
      <c r="F35" s="27">
        <f>IF(Partite!$K35&lt;&gt;"Giocata","",IF(AND(Pronostici!$L35&lt;&gt;"",Pronostici!$M35&lt;&gt;"",Pronostici!$L35=Partite!$G35,Pronostici!$M35=Partite!$H35),Config!$D$6,IF(AND($L35&lt;&gt;"",$L35=Partite!$I35),Config!$D$7,Config!$D$8)))</f>
        <v/>
      </c>
      <c r="G35" s="27">
        <f>IF(Partite!$K35&lt;&gt;"Giocata","",IF(AND(Pronostici!$O35&lt;&gt;"",Pronostici!$P35&lt;&gt;"",Pronostici!$O35=Partite!$G35,Pronostici!$P35=Partite!$H35),Config!$D$6,IF(AND($M35&lt;&gt;"",$M35=Partite!$I35),Config!$D$7,Config!$D$8)))</f>
        <v/>
      </c>
      <c r="H35" s="27">
        <f>IF(Partite!$K35&lt;&gt;"Giocata","",IF(AND(Pronostici!$R35&lt;&gt;"",Pronostici!$S35&lt;&gt;"",Pronostici!$R35=Partite!$G35,Pronostici!$S35=Partite!$H35),Config!$D$6,IF(AND($N35&lt;&gt;"",$N35=Partite!$I35),Config!$D$7,Config!$D$8)))</f>
        <v/>
      </c>
      <c r="J35" s="63">
        <f>IF(Pronostici!$E35&lt;&gt;"",UPPER(Pronostici!$E35),IF(OR(Pronostici!$F35="",Pronostici!$G35=""),"",IF(Pronostici!$F35&gt;Pronostici!$G35,"1",IF(Pronostici!$F35=Pronostici!$G35,"X","2"))))</f>
        <v/>
      </c>
      <c r="K35" s="63">
        <f>IF(Pronostici!$H35&lt;&gt;"",UPPER(Pronostici!$H35),IF(OR(Pronostici!$I35="",Pronostici!$J35=""),"",IF(Pronostici!$I35&gt;Pronostici!$J35,"1",IF(Pronostici!$I35=Pronostici!$J35,"X","2"))))</f>
        <v/>
      </c>
      <c r="L35" s="63">
        <f>IF(Pronostici!$K35&lt;&gt;"",UPPER(Pronostici!$K35),IF(OR(Pronostici!$L35="",Pronostici!$M35=""),"",IF(Pronostici!$L35&gt;Pronostici!$M35,"1",IF(Pronostici!$L35=Pronostici!$M35,"X","2"))))</f>
        <v/>
      </c>
      <c r="M35" s="63">
        <f>IF(Pronostici!$N35&lt;&gt;"",UPPER(Pronostici!$N35),IF(OR(Pronostici!$O35="",Pronostici!$P35=""),"",IF(Pronostici!$O35&gt;Pronostici!$P35,"1",IF(Pronostici!$O35=Pronostici!$P35,"X","2"))))</f>
        <v/>
      </c>
      <c r="N35" s="63">
        <f>IF(Pronostici!$Q35&lt;&gt;"",UPPER(Pronostici!$Q35),IF(OR(Pronostici!$R35="",Pronostici!$S35=""),"",IF(Pronostici!$R35&gt;Pronostici!$S35,"1",IF(Pronostici!$R35=Pronostici!$S35,"X","2"))))</f>
        <v/>
      </c>
    </row>
    <row r="36">
      <c r="A36" s="74">
        <f>Partite!$A36</f>
        <v/>
      </c>
      <c r="B36" s="30">
        <f>Partite!$B36</f>
        <v/>
      </c>
      <c r="C36" s="47">
        <f>IF(Partite!$E36="","",Partite!$E36&amp;"  -  "&amp;Partite!$F36)</f>
        <v/>
      </c>
      <c r="D36" s="27">
        <f>IF(Partite!$K36&lt;&gt;"Giocata","",IF(AND(Pronostici!$F36&lt;&gt;"",Pronostici!$G36&lt;&gt;"",Pronostici!$F36=Partite!$G36,Pronostici!$G36=Partite!$H36),Config!$D$6,IF(AND($J36&lt;&gt;"",$J36=Partite!$I36),Config!$D$7,Config!$D$8)))</f>
        <v/>
      </c>
      <c r="E36" s="27">
        <f>IF(Partite!$K36&lt;&gt;"Giocata","",IF(AND(Pronostici!$I36&lt;&gt;"",Pronostici!$J36&lt;&gt;"",Pronostici!$I36=Partite!$G36,Pronostici!$J36=Partite!$H36),Config!$D$6,IF(AND($K36&lt;&gt;"",$K36=Partite!$I36),Config!$D$7,Config!$D$8)))</f>
        <v/>
      </c>
      <c r="F36" s="27">
        <f>IF(Partite!$K36&lt;&gt;"Giocata","",IF(AND(Pronostici!$L36&lt;&gt;"",Pronostici!$M36&lt;&gt;"",Pronostici!$L36=Partite!$G36,Pronostici!$M36=Partite!$H36),Config!$D$6,IF(AND($L36&lt;&gt;"",$L36=Partite!$I36),Config!$D$7,Config!$D$8)))</f>
        <v/>
      </c>
      <c r="G36" s="27">
        <f>IF(Partite!$K36&lt;&gt;"Giocata","",IF(AND(Pronostici!$O36&lt;&gt;"",Pronostici!$P36&lt;&gt;"",Pronostici!$O36=Partite!$G36,Pronostici!$P36=Partite!$H36),Config!$D$6,IF(AND($M36&lt;&gt;"",$M36=Partite!$I36),Config!$D$7,Config!$D$8)))</f>
        <v/>
      </c>
      <c r="H36" s="27">
        <f>IF(Partite!$K36&lt;&gt;"Giocata","",IF(AND(Pronostici!$R36&lt;&gt;"",Pronostici!$S36&lt;&gt;"",Pronostici!$R36=Partite!$G36,Pronostici!$S36=Partite!$H36),Config!$D$6,IF(AND($N36&lt;&gt;"",$N36=Partite!$I36),Config!$D$7,Config!$D$8)))</f>
        <v/>
      </c>
      <c r="J36" s="63">
        <f>IF(Pronostici!$E36&lt;&gt;"",UPPER(Pronostici!$E36),IF(OR(Pronostici!$F36="",Pronostici!$G36=""),"",IF(Pronostici!$F36&gt;Pronostici!$G36,"1",IF(Pronostici!$F36=Pronostici!$G36,"X","2"))))</f>
        <v/>
      </c>
      <c r="K36" s="63">
        <f>IF(Pronostici!$H36&lt;&gt;"",UPPER(Pronostici!$H36),IF(OR(Pronostici!$I36="",Pronostici!$J36=""),"",IF(Pronostici!$I36&gt;Pronostici!$J36,"1",IF(Pronostici!$I36=Pronostici!$J36,"X","2"))))</f>
        <v/>
      </c>
      <c r="L36" s="63">
        <f>IF(Pronostici!$K36&lt;&gt;"",UPPER(Pronostici!$K36),IF(OR(Pronostici!$L36="",Pronostici!$M36=""),"",IF(Pronostici!$L36&gt;Pronostici!$M36,"1",IF(Pronostici!$L36=Pronostici!$M36,"X","2"))))</f>
        <v/>
      </c>
      <c r="M36" s="63">
        <f>IF(Pronostici!$N36&lt;&gt;"",UPPER(Pronostici!$N36),IF(OR(Pronostici!$O36="",Pronostici!$P36=""),"",IF(Pronostici!$O36&gt;Pronostici!$P36,"1",IF(Pronostici!$O36=Pronostici!$P36,"X","2"))))</f>
        <v/>
      </c>
      <c r="N36" s="63">
        <f>IF(Pronostici!$Q36&lt;&gt;"",UPPER(Pronostici!$Q36),IF(OR(Pronostici!$R36="",Pronostici!$S36=""),"",IF(Pronostici!$R36&gt;Pronostici!$S36,"1",IF(Pronostici!$R36=Pronostici!$S36,"X","2"))))</f>
        <v/>
      </c>
    </row>
    <row r="37">
      <c r="A37" s="74">
        <f>Partite!$A37</f>
        <v/>
      </c>
      <c r="B37" s="30">
        <f>Partite!$B37</f>
        <v/>
      </c>
      <c r="C37" s="47">
        <f>IF(Partite!$E37="","",Partite!$E37&amp;"  -  "&amp;Partite!$F37)</f>
        <v/>
      </c>
      <c r="D37" s="27">
        <f>IF(Partite!$K37&lt;&gt;"Giocata","",IF(AND(Pronostici!$F37&lt;&gt;"",Pronostici!$G37&lt;&gt;"",Pronostici!$F37=Partite!$G37,Pronostici!$G37=Partite!$H37),Config!$D$6,IF(AND($J37&lt;&gt;"",$J37=Partite!$I37),Config!$D$7,Config!$D$8)))</f>
        <v/>
      </c>
      <c r="E37" s="27">
        <f>IF(Partite!$K37&lt;&gt;"Giocata","",IF(AND(Pronostici!$I37&lt;&gt;"",Pronostici!$J37&lt;&gt;"",Pronostici!$I37=Partite!$G37,Pronostici!$J37=Partite!$H37),Config!$D$6,IF(AND($K37&lt;&gt;"",$K37=Partite!$I37),Config!$D$7,Config!$D$8)))</f>
        <v/>
      </c>
      <c r="F37" s="27">
        <f>IF(Partite!$K37&lt;&gt;"Giocata","",IF(AND(Pronostici!$L37&lt;&gt;"",Pronostici!$M37&lt;&gt;"",Pronostici!$L37=Partite!$G37,Pronostici!$M37=Partite!$H37),Config!$D$6,IF(AND($L37&lt;&gt;"",$L37=Partite!$I37),Config!$D$7,Config!$D$8)))</f>
        <v/>
      </c>
      <c r="G37" s="27">
        <f>IF(Partite!$K37&lt;&gt;"Giocata","",IF(AND(Pronostici!$O37&lt;&gt;"",Pronostici!$P37&lt;&gt;"",Pronostici!$O37=Partite!$G37,Pronostici!$P37=Partite!$H37),Config!$D$6,IF(AND($M37&lt;&gt;"",$M37=Partite!$I37),Config!$D$7,Config!$D$8)))</f>
        <v/>
      </c>
      <c r="H37" s="27">
        <f>IF(Partite!$K37&lt;&gt;"Giocata","",IF(AND(Pronostici!$R37&lt;&gt;"",Pronostici!$S37&lt;&gt;"",Pronostici!$R37=Partite!$G37,Pronostici!$S37=Partite!$H37),Config!$D$6,IF(AND($N37&lt;&gt;"",$N37=Partite!$I37),Config!$D$7,Config!$D$8)))</f>
        <v/>
      </c>
      <c r="J37" s="63">
        <f>IF(Pronostici!$E37&lt;&gt;"",UPPER(Pronostici!$E37),IF(OR(Pronostici!$F37="",Pronostici!$G37=""),"",IF(Pronostici!$F37&gt;Pronostici!$G37,"1",IF(Pronostici!$F37=Pronostici!$G37,"X","2"))))</f>
        <v/>
      </c>
      <c r="K37" s="63">
        <f>IF(Pronostici!$H37&lt;&gt;"",UPPER(Pronostici!$H37),IF(OR(Pronostici!$I37="",Pronostici!$J37=""),"",IF(Pronostici!$I37&gt;Pronostici!$J37,"1",IF(Pronostici!$I37=Pronostici!$J37,"X","2"))))</f>
        <v/>
      </c>
      <c r="L37" s="63">
        <f>IF(Pronostici!$K37&lt;&gt;"",UPPER(Pronostici!$K37),IF(OR(Pronostici!$L37="",Pronostici!$M37=""),"",IF(Pronostici!$L37&gt;Pronostici!$M37,"1",IF(Pronostici!$L37=Pronostici!$M37,"X","2"))))</f>
        <v/>
      </c>
      <c r="M37" s="63">
        <f>IF(Pronostici!$N37&lt;&gt;"",UPPER(Pronostici!$N37),IF(OR(Pronostici!$O37="",Pronostici!$P37=""),"",IF(Pronostici!$O37&gt;Pronostici!$P37,"1",IF(Pronostici!$O37=Pronostici!$P37,"X","2"))))</f>
        <v/>
      </c>
      <c r="N37" s="63">
        <f>IF(Pronostici!$Q37&lt;&gt;"",UPPER(Pronostici!$Q37),IF(OR(Pronostici!$R37="",Pronostici!$S37=""),"",IF(Pronostici!$R37&gt;Pronostici!$S37,"1",IF(Pronostici!$R37=Pronostici!$S37,"X","2"))))</f>
        <v/>
      </c>
    </row>
    <row r="38">
      <c r="A38" s="74">
        <f>Partite!$A38</f>
        <v/>
      </c>
      <c r="B38" s="30">
        <f>Partite!$B38</f>
        <v/>
      </c>
      <c r="C38" s="47">
        <f>IF(Partite!$E38="","",Partite!$E38&amp;"  -  "&amp;Partite!$F38)</f>
        <v/>
      </c>
      <c r="D38" s="27">
        <f>IF(Partite!$K38&lt;&gt;"Giocata","",IF(AND(Pronostici!$F38&lt;&gt;"",Pronostici!$G38&lt;&gt;"",Pronostici!$F38=Partite!$G38,Pronostici!$G38=Partite!$H38),Config!$D$6,IF(AND($J38&lt;&gt;"",$J38=Partite!$I38),Config!$D$7,Config!$D$8)))</f>
        <v/>
      </c>
      <c r="E38" s="27">
        <f>IF(Partite!$K38&lt;&gt;"Giocata","",IF(AND(Pronostici!$I38&lt;&gt;"",Pronostici!$J38&lt;&gt;"",Pronostici!$I38=Partite!$G38,Pronostici!$J38=Partite!$H38),Config!$D$6,IF(AND($K38&lt;&gt;"",$K38=Partite!$I38),Config!$D$7,Config!$D$8)))</f>
        <v/>
      </c>
      <c r="F38" s="27">
        <f>IF(Partite!$K38&lt;&gt;"Giocata","",IF(AND(Pronostici!$L38&lt;&gt;"",Pronostici!$M38&lt;&gt;"",Pronostici!$L38=Partite!$G38,Pronostici!$M38=Partite!$H38),Config!$D$6,IF(AND($L38&lt;&gt;"",$L38=Partite!$I38),Config!$D$7,Config!$D$8)))</f>
        <v/>
      </c>
      <c r="G38" s="27">
        <f>IF(Partite!$K38&lt;&gt;"Giocata","",IF(AND(Pronostici!$O38&lt;&gt;"",Pronostici!$P38&lt;&gt;"",Pronostici!$O38=Partite!$G38,Pronostici!$P38=Partite!$H38),Config!$D$6,IF(AND($M38&lt;&gt;"",$M38=Partite!$I38),Config!$D$7,Config!$D$8)))</f>
        <v/>
      </c>
      <c r="H38" s="27">
        <f>IF(Partite!$K38&lt;&gt;"Giocata","",IF(AND(Pronostici!$R38&lt;&gt;"",Pronostici!$S38&lt;&gt;"",Pronostici!$R38=Partite!$G38,Pronostici!$S38=Partite!$H38),Config!$D$6,IF(AND($N38&lt;&gt;"",$N38=Partite!$I38),Config!$D$7,Config!$D$8)))</f>
        <v/>
      </c>
      <c r="J38" s="63">
        <f>IF(Pronostici!$E38&lt;&gt;"",UPPER(Pronostici!$E38),IF(OR(Pronostici!$F38="",Pronostici!$G38=""),"",IF(Pronostici!$F38&gt;Pronostici!$G38,"1",IF(Pronostici!$F38=Pronostici!$G38,"X","2"))))</f>
        <v/>
      </c>
      <c r="K38" s="63">
        <f>IF(Pronostici!$H38&lt;&gt;"",UPPER(Pronostici!$H38),IF(OR(Pronostici!$I38="",Pronostici!$J38=""),"",IF(Pronostici!$I38&gt;Pronostici!$J38,"1",IF(Pronostici!$I38=Pronostici!$J38,"X","2"))))</f>
        <v/>
      </c>
      <c r="L38" s="63">
        <f>IF(Pronostici!$K38&lt;&gt;"",UPPER(Pronostici!$K38),IF(OR(Pronostici!$L38="",Pronostici!$M38=""),"",IF(Pronostici!$L38&gt;Pronostici!$M38,"1",IF(Pronostici!$L38=Pronostici!$M38,"X","2"))))</f>
        <v/>
      </c>
      <c r="M38" s="63">
        <f>IF(Pronostici!$N38&lt;&gt;"",UPPER(Pronostici!$N38),IF(OR(Pronostici!$O38="",Pronostici!$P38=""),"",IF(Pronostici!$O38&gt;Pronostici!$P38,"1",IF(Pronostici!$O38=Pronostici!$P38,"X","2"))))</f>
        <v/>
      </c>
      <c r="N38" s="63">
        <f>IF(Pronostici!$Q38&lt;&gt;"",UPPER(Pronostici!$Q38),IF(OR(Pronostici!$R38="",Pronostici!$S38=""),"",IF(Pronostici!$R38&gt;Pronostici!$S38,"1",IF(Pronostici!$R38=Pronostici!$S38,"X","2"))))</f>
        <v/>
      </c>
    </row>
    <row r="39">
      <c r="A39" s="74">
        <f>Partite!$A39</f>
        <v/>
      </c>
      <c r="B39" s="30">
        <f>Partite!$B39</f>
        <v/>
      </c>
      <c r="C39" s="47">
        <f>IF(Partite!$E39="","",Partite!$E39&amp;"  -  "&amp;Partite!$F39)</f>
        <v/>
      </c>
      <c r="D39" s="27">
        <f>IF(Partite!$K39&lt;&gt;"Giocata","",IF(AND(Pronostici!$F39&lt;&gt;"",Pronostici!$G39&lt;&gt;"",Pronostici!$F39=Partite!$G39,Pronostici!$G39=Partite!$H39),Config!$D$6,IF(AND($J39&lt;&gt;"",$J39=Partite!$I39),Config!$D$7,Config!$D$8)))</f>
        <v/>
      </c>
      <c r="E39" s="27">
        <f>IF(Partite!$K39&lt;&gt;"Giocata","",IF(AND(Pronostici!$I39&lt;&gt;"",Pronostici!$J39&lt;&gt;"",Pronostici!$I39=Partite!$G39,Pronostici!$J39=Partite!$H39),Config!$D$6,IF(AND($K39&lt;&gt;"",$K39=Partite!$I39),Config!$D$7,Config!$D$8)))</f>
        <v/>
      </c>
      <c r="F39" s="27">
        <f>IF(Partite!$K39&lt;&gt;"Giocata","",IF(AND(Pronostici!$L39&lt;&gt;"",Pronostici!$M39&lt;&gt;"",Pronostici!$L39=Partite!$G39,Pronostici!$M39=Partite!$H39),Config!$D$6,IF(AND($L39&lt;&gt;"",$L39=Partite!$I39),Config!$D$7,Config!$D$8)))</f>
        <v/>
      </c>
      <c r="G39" s="27">
        <f>IF(Partite!$K39&lt;&gt;"Giocata","",IF(AND(Pronostici!$O39&lt;&gt;"",Pronostici!$P39&lt;&gt;"",Pronostici!$O39=Partite!$G39,Pronostici!$P39=Partite!$H39),Config!$D$6,IF(AND($M39&lt;&gt;"",$M39=Partite!$I39),Config!$D$7,Config!$D$8)))</f>
        <v/>
      </c>
      <c r="H39" s="27">
        <f>IF(Partite!$K39&lt;&gt;"Giocata","",IF(AND(Pronostici!$R39&lt;&gt;"",Pronostici!$S39&lt;&gt;"",Pronostici!$R39=Partite!$G39,Pronostici!$S39=Partite!$H39),Config!$D$6,IF(AND($N39&lt;&gt;"",$N39=Partite!$I39),Config!$D$7,Config!$D$8)))</f>
        <v/>
      </c>
      <c r="J39" s="63">
        <f>IF(Pronostici!$E39&lt;&gt;"",UPPER(Pronostici!$E39),IF(OR(Pronostici!$F39="",Pronostici!$G39=""),"",IF(Pronostici!$F39&gt;Pronostici!$G39,"1",IF(Pronostici!$F39=Pronostici!$G39,"X","2"))))</f>
        <v/>
      </c>
      <c r="K39" s="63">
        <f>IF(Pronostici!$H39&lt;&gt;"",UPPER(Pronostici!$H39),IF(OR(Pronostici!$I39="",Pronostici!$J39=""),"",IF(Pronostici!$I39&gt;Pronostici!$J39,"1",IF(Pronostici!$I39=Pronostici!$J39,"X","2"))))</f>
        <v/>
      </c>
      <c r="L39" s="63">
        <f>IF(Pronostici!$K39&lt;&gt;"",UPPER(Pronostici!$K39),IF(OR(Pronostici!$L39="",Pronostici!$M39=""),"",IF(Pronostici!$L39&gt;Pronostici!$M39,"1",IF(Pronostici!$L39=Pronostici!$M39,"X","2"))))</f>
        <v/>
      </c>
      <c r="M39" s="63">
        <f>IF(Pronostici!$N39&lt;&gt;"",UPPER(Pronostici!$N39),IF(OR(Pronostici!$O39="",Pronostici!$P39=""),"",IF(Pronostici!$O39&gt;Pronostici!$P39,"1",IF(Pronostici!$O39=Pronostici!$P39,"X","2"))))</f>
        <v/>
      </c>
      <c r="N39" s="63">
        <f>IF(Pronostici!$Q39&lt;&gt;"",UPPER(Pronostici!$Q39),IF(OR(Pronostici!$R39="",Pronostici!$S39=""),"",IF(Pronostici!$R39&gt;Pronostici!$S39,"1",IF(Pronostici!$R39=Pronostici!$S39,"X","2"))))</f>
        <v/>
      </c>
    </row>
    <row r="40">
      <c r="A40" s="74">
        <f>Partite!$A40</f>
        <v/>
      </c>
      <c r="B40" s="30">
        <f>Partite!$B40</f>
        <v/>
      </c>
      <c r="C40" s="47">
        <f>IF(Partite!$E40="","",Partite!$E40&amp;"  -  "&amp;Partite!$F40)</f>
        <v/>
      </c>
      <c r="D40" s="27">
        <f>IF(Partite!$K40&lt;&gt;"Giocata","",IF(AND(Pronostici!$F40&lt;&gt;"",Pronostici!$G40&lt;&gt;"",Pronostici!$F40=Partite!$G40,Pronostici!$G40=Partite!$H40),Config!$D$6,IF(AND($J40&lt;&gt;"",$J40=Partite!$I40),Config!$D$7,Config!$D$8)))</f>
        <v/>
      </c>
      <c r="E40" s="27">
        <f>IF(Partite!$K40&lt;&gt;"Giocata","",IF(AND(Pronostici!$I40&lt;&gt;"",Pronostici!$J40&lt;&gt;"",Pronostici!$I40=Partite!$G40,Pronostici!$J40=Partite!$H40),Config!$D$6,IF(AND($K40&lt;&gt;"",$K40=Partite!$I40),Config!$D$7,Config!$D$8)))</f>
        <v/>
      </c>
      <c r="F40" s="27">
        <f>IF(Partite!$K40&lt;&gt;"Giocata","",IF(AND(Pronostici!$L40&lt;&gt;"",Pronostici!$M40&lt;&gt;"",Pronostici!$L40=Partite!$G40,Pronostici!$M40=Partite!$H40),Config!$D$6,IF(AND($L40&lt;&gt;"",$L40=Partite!$I40),Config!$D$7,Config!$D$8)))</f>
        <v/>
      </c>
      <c r="G40" s="27">
        <f>IF(Partite!$K40&lt;&gt;"Giocata","",IF(AND(Pronostici!$O40&lt;&gt;"",Pronostici!$P40&lt;&gt;"",Pronostici!$O40=Partite!$G40,Pronostici!$P40=Partite!$H40),Config!$D$6,IF(AND($M40&lt;&gt;"",$M40=Partite!$I40),Config!$D$7,Config!$D$8)))</f>
        <v/>
      </c>
      <c r="H40" s="27">
        <f>IF(Partite!$K40&lt;&gt;"Giocata","",IF(AND(Pronostici!$R40&lt;&gt;"",Pronostici!$S40&lt;&gt;"",Pronostici!$R40=Partite!$G40,Pronostici!$S40=Partite!$H40),Config!$D$6,IF(AND($N40&lt;&gt;"",$N40=Partite!$I40),Config!$D$7,Config!$D$8)))</f>
        <v/>
      </c>
      <c r="J40" s="63">
        <f>IF(Pronostici!$E40&lt;&gt;"",UPPER(Pronostici!$E40),IF(OR(Pronostici!$F40="",Pronostici!$G40=""),"",IF(Pronostici!$F40&gt;Pronostici!$G40,"1",IF(Pronostici!$F40=Pronostici!$G40,"X","2"))))</f>
        <v/>
      </c>
      <c r="K40" s="63">
        <f>IF(Pronostici!$H40&lt;&gt;"",UPPER(Pronostici!$H40),IF(OR(Pronostici!$I40="",Pronostici!$J40=""),"",IF(Pronostici!$I40&gt;Pronostici!$J40,"1",IF(Pronostici!$I40=Pronostici!$J40,"X","2"))))</f>
        <v/>
      </c>
      <c r="L40" s="63">
        <f>IF(Pronostici!$K40&lt;&gt;"",UPPER(Pronostici!$K40),IF(OR(Pronostici!$L40="",Pronostici!$M40=""),"",IF(Pronostici!$L40&gt;Pronostici!$M40,"1",IF(Pronostici!$L40=Pronostici!$M40,"X","2"))))</f>
        <v/>
      </c>
      <c r="M40" s="63">
        <f>IF(Pronostici!$N40&lt;&gt;"",UPPER(Pronostici!$N40),IF(OR(Pronostici!$O40="",Pronostici!$P40=""),"",IF(Pronostici!$O40&gt;Pronostici!$P40,"1",IF(Pronostici!$O40=Pronostici!$P40,"X","2"))))</f>
        <v/>
      </c>
      <c r="N40" s="63">
        <f>IF(Pronostici!$Q40&lt;&gt;"",UPPER(Pronostici!$Q40),IF(OR(Pronostici!$R40="",Pronostici!$S40=""),"",IF(Pronostici!$R40&gt;Pronostici!$S40,"1",IF(Pronostici!$R40=Pronostici!$S40,"X","2"))))</f>
        <v/>
      </c>
    </row>
    <row r="41">
      <c r="A41" s="74">
        <f>Partite!$A41</f>
        <v/>
      </c>
      <c r="B41" s="30">
        <f>Partite!$B41</f>
        <v/>
      </c>
      <c r="C41" s="47">
        <f>IF(Partite!$E41="","",Partite!$E41&amp;"  -  "&amp;Partite!$F41)</f>
        <v/>
      </c>
      <c r="D41" s="27">
        <f>IF(Partite!$K41&lt;&gt;"Giocata","",IF(AND(Pronostici!$F41&lt;&gt;"",Pronostici!$G41&lt;&gt;"",Pronostici!$F41=Partite!$G41,Pronostici!$G41=Partite!$H41),Config!$D$6,IF(AND($J41&lt;&gt;"",$J41=Partite!$I41),Config!$D$7,Config!$D$8)))</f>
        <v/>
      </c>
      <c r="E41" s="27">
        <f>IF(Partite!$K41&lt;&gt;"Giocata","",IF(AND(Pronostici!$I41&lt;&gt;"",Pronostici!$J41&lt;&gt;"",Pronostici!$I41=Partite!$G41,Pronostici!$J41=Partite!$H41),Config!$D$6,IF(AND($K41&lt;&gt;"",$K41=Partite!$I41),Config!$D$7,Config!$D$8)))</f>
        <v/>
      </c>
      <c r="F41" s="27">
        <f>IF(Partite!$K41&lt;&gt;"Giocata","",IF(AND(Pronostici!$L41&lt;&gt;"",Pronostici!$M41&lt;&gt;"",Pronostici!$L41=Partite!$G41,Pronostici!$M41=Partite!$H41),Config!$D$6,IF(AND($L41&lt;&gt;"",$L41=Partite!$I41),Config!$D$7,Config!$D$8)))</f>
        <v/>
      </c>
      <c r="G41" s="27">
        <f>IF(Partite!$K41&lt;&gt;"Giocata","",IF(AND(Pronostici!$O41&lt;&gt;"",Pronostici!$P41&lt;&gt;"",Pronostici!$O41=Partite!$G41,Pronostici!$P41=Partite!$H41),Config!$D$6,IF(AND($M41&lt;&gt;"",$M41=Partite!$I41),Config!$D$7,Config!$D$8)))</f>
        <v/>
      </c>
      <c r="H41" s="27">
        <f>IF(Partite!$K41&lt;&gt;"Giocata","",IF(AND(Pronostici!$R41&lt;&gt;"",Pronostici!$S41&lt;&gt;"",Pronostici!$R41=Partite!$G41,Pronostici!$S41=Partite!$H41),Config!$D$6,IF(AND($N41&lt;&gt;"",$N41=Partite!$I41),Config!$D$7,Config!$D$8)))</f>
        <v/>
      </c>
      <c r="J41" s="63">
        <f>IF(Pronostici!$E41&lt;&gt;"",UPPER(Pronostici!$E41),IF(OR(Pronostici!$F41="",Pronostici!$G41=""),"",IF(Pronostici!$F41&gt;Pronostici!$G41,"1",IF(Pronostici!$F41=Pronostici!$G41,"X","2"))))</f>
        <v/>
      </c>
      <c r="K41" s="63">
        <f>IF(Pronostici!$H41&lt;&gt;"",UPPER(Pronostici!$H41),IF(OR(Pronostici!$I41="",Pronostici!$J41=""),"",IF(Pronostici!$I41&gt;Pronostici!$J41,"1",IF(Pronostici!$I41=Pronostici!$J41,"X","2"))))</f>
        <v/>
      </c>
      <c r="L41" s="63">
        <f>IF(Pronostici!$K41&lt;&gt;"",UPPER(Pronostici!$K41),IF(OR(Pronostici!$L41="",Pronostici!$M41=""),"",IF(Pronostici!$L41&gt;Pronostici!$M41,"1",IF(Pronostici!$L41=Pronostici!$M41,"X","2"))))</f>
        <v/>
      </c>
      <c r="M41" s="63">
        <f>IF(Pronostici!$N41&lt;&gt;"",UPPER(Pronostici!$N41),IF(OR(Pronostici!$O41="",Pronostici!$P41=""),"",IF(Pronostici!$O41&gt;Pronostici!$P41,"1",IF(Pronostici!$O41=Pronostici!$P41,"X","2"))))</f>
        <v/>
      </c>
      <c r="N41" s="63">
        <f>IF(Pronostici!$Q41&lt;&gt;"",UPPER(Pronostici!$Q41),IF(OR(Pronostici!$R41="",Pronostici!$S41=""),"",IF(Pronostici!$R41&gt;Pronostici!$S41,"1",IF(Pronostici!$R41=Pronostici!$S41,"X","2"))))</f>
        <v/>
      </c>
    </row>
    <row r="42">
      <c r="A42" s="74">
        <f>Partite!$A42</f>
        <v/>
      </c>
      <c r="B42" s="30">
        <f>Partite!$B42</f>
        <v/>
      </c>
      <c r="C42" s="47">
        <f>IF(Partite!$E42="","",Partite!$E42&amp;"  -  "&amp;Partite!$F42)</f>
        <v/>
      </c>
      <c r="D42" s="27">
        <f>IF(Partite!$K42&lt;&gt;"Giocata","",IF(AND(Pronostici!$F42&lt;&gt;"",Pronostici!$G42&lt;&gt;"",Pronostici!$F42=Partite!$G42,Pronostici!$G42=Partite!$H42),Config!$D$6,IF(AND($J42&lt;&gt;"",$J42=Partite!$I42),Config!$D$7,Config!$D$8)))</f>
        <v/>
      </c>
      <c r="E42" s="27">
        <f>IF(Partite!$K42&lt;&gt;"Giocata","",IF(AND(Pronostici!$I42&lt;&gt;"",Pronostici!$J42&lt;&gt;"",Pronostici!$I42=Partite!$G42,Pronostici!$J42=Partite!$H42),Config!$D$6,IF(AND($K42&lt;&gt;"",$K42=Partite!$I42),Config!$D$7,Config!$D$8)))</f>
        <v/>
      </c>
      <c r="F42" s="27">
        <f>IF(Partite!$K42&lt;&gt;"Giocata","",IF(AND(Pronostici!$L42&lt;&gt;"",Pronostici!$M42&lt;&gt;"",Pronostici!$L42=Partite!$G42,Pronostici!$M42=Partite!$H42),Config!$D$6,IF(AND($L42&lt;&gt;"",$L42=Partite!$I42),Config!$D$7,Config!$D$8)))</f>
        <v/>
      </c>
      <c r="G42" s="27">
        <f>IF(Partite!$K42&lt;&gt;"Giocata","",IF(AND(Pronostici!$O42&lt;&gt;"",Pronostici!$P42&lt;&gt;"",Pronostici!$O42=Partite!$G42,Pronostici!$P42=Partite!$H42),Config!$D$6,IF(AND($M42&lt;&gt;"",$M42=Partite!$I42),Config!$D$7,Config!$D$8)))</f>
        <v/>
      </c>
      <c r="H42" s="27">
        <f>IF(Partite!$K42&lt;&gt;"Giocata","",IF(AND(Pronostici!$R42&lt;&gt;"",Pronostici!$S42&lt;&gt;"",Pronostici!$R42=Partite!$G42,Pronostici!$S42=Partite!$H42),Config!$D$6,IF(AND($N42&lt;&gt;"",$N42=Partite!$I42),Config!$D$7,Config!$D$8)))</f>
        <v/>
      </c>
      <c r="J42" s="63">
        <f>IF(Pronostici!$E42&lt;&gt;"",UPPER(Pronostici!$E42),IF(OR(Pronostici!$F42="",Pronostici!$G42=""),"",IF(Pronostici!$F42&gt;Pronostici!$G42,"1",IF(Pronostici!$F42=Pronostici!$G42,"X","2"))))</f>
        <v/>
      </c>
      <c r="K42" s="63">
        <f>IF(Pronostici!$H42&lt;&gt;"",UPPER(Pronostici!$H42),IF(OR(Pronostici!$I42="",Pronostici!$J42=""),"",IF(Pronostici!$I42&gt;Pronostici!$J42,"1",IF(Pronostici!$I42=Pronostici!$J42,"X","2"))))</f>
        <v/>
      </c>
      <c r="L42" s="63">
        <f>IF(Pronostici!$K42&lt;&gt;"",UPPER(Pronostici!$K42),IF(OR(Pronostici!$L42="",Pronostici!$M42=""),"",IF(Pronostici!$L42&gt;Pronostici!$M42,"1",IF(Pronostici!$L42=Pronostici!$M42,"X","2"))))</f>
        <v/>
      </c>
      <c r="M42" s="63">
        <f>IF(Pronostici!$N42&lt;&gt;"",UPPER(Pronostici!$N42),IF(OR(Pronostici!$O42="",Pronostici!$P42=""),"",IF(Pronostici!$O42&gt;Pronostici!$P42,"1",IF(Pronostici!$O42=Pronostici!$P42,"X","2"))))</f>
        <v/>
      </c>
      <c r="N42" s="63">
        <f>IF(Pronostici!$Q42&lt;&gt;"",UPPER(Pronostici!$Q42),IF(OR(Pronostici!$R42="",Pronostici!$S42=""),"",IF(Pronostici!$R42&gt;Pronostici!$S42,"1",IF(Pronostici!$R42=Pronostici!$S42,"X","2"))))</f>
        <v/>
      </c>
    </row>
    <row r="43">
      <c r="A43" s="69">
        <f>Partite!$A43</f>
        <v/>
      </c>
      <c r="B43" s="25">
        <f>Partite!$B43</f>
        <v/>
      </c>
      <c r="C43" s="43">
        <f>IF(Partite!$E43="","",Partite!$E43&amp;"  -  "&amp;Partite!$F43)</f>
        <v/>
      </c>
      <c r="D43" s="22">
        <f>IF(Partite!$K43&lt;&gt;"Giocata","",IF(AND(Pronostici!$F43&lt;&gt;"",Pronostici!$G43&lt;&gt;"",Pronostici!$F43=Partite!$G43,Pronostici!$G43=Partite!$H43),Config!$D$6,IF(AND($J43&lt;&gt;"",$J43=Partite!$I43),Config!$D$7,Config!$D$8)))</f>
        <v/>
      </c>
      <c r="E43" s="22">
        <f>IF(Partite!$K43&lt;&gt;"Giocata","",IF(AND(Pronostici!$I43&lt;&gt;"",Pronostici!$J43&lt;&gt;"",Pronostici!$I43=Partite!$G43,Pronostici!$J43=Partite!$H43),Config!$D$6,IF(AND($K43&lt;&gt;"",$K43=Partite!$I43),Config!$D$7,Config!$D$8)))</f>
        <v/>
      </c>
      <c r="F43" s="22">
        <f>IF(Partite!$K43&lt;&gt;"Giocata","",IF(AND(Pronostici!$L43&lt;&gt;"",Pronostici!$M43&lt;&gt;"",Pronostici!$L43=Partite!$G43,Pronostici!$M43=Partite!$H43),Config!$D$6,IF(AND($L43&lt;&gt;"",$L43=Partite!$I43),Config!$D$7,Config!$D$8)))</f>
        <v/>
      </c>
      <c r="G43" s="22">
        <f>IF(Partite!$K43&lt;&gt;"Giocata","",IF(AND(Pronostici!$O43&lt;&gt;"",Pronostici!$P43&lt;&gt;"",Pronostici!$O43=Partite!$G43,Pronostici!$P43=Partite!$H43),Config!$D$6,IF(AND($M43&lt;&gt;"",$M43=Partite!$I43),Config!$D$7,Config!$D$8)))</f>
        <v/>
      </c>
      <c r="H43" s="22">
        <f>IF(Partite!$K43&lt;&gt;"Giocata","",IF(AND(Pronostici!$R43&lt;&gt;"",Pronostici!$S43&lt;&gt;"",Pronostici!$R43=Partite!$G43,Pronostici!$S43=Partite!$H43),Config!$D$6,IF(AND($N43&lt;&gt;"",$N43=Partite!$I43),Config!$D$7,Config!$D$8)))</f>
        <v/>
      </c>
      <c r="J43" s="63">
        <f>IF(Pronostici!$E43&lt;&gt;"",UPPER(Pronostici!$E43),IF(OR(Pronostici!$F43="",Pronostici!$G43=""),"",IF(Pronostici!$F43&gt;Pronostici!$G43,"1",IF(Pronostici!$F43=Pronostici!$G43,"X","2"))))</f>
        <v/>
      </c>
      <c r="K43" s="63">
        <f>IF(Pronostici!$H43&lt;&gt;"",UPPER(Pronostici!$H43),IF(OR(Pronostici!$I43="",Pronostici!$J43=""),"",IF(Pronostici!$I43&gt;Pronostici!$J43,"1",IF(Pronostici!$I43=Pronostici!$J43,"X","2"))))</f>
        <v/>
      </c>
      <c r="L43" s="63">
        <f>IF(Pronostici!$K43&lt;&gt;"",UPPER(Pronostici!$K43),IF(OR(Pronostici!$L43="",Pronostici!$M43=""),"",IF(Pronostici!$L43&gt;Pronostici!$M43,"1",IF(Pronostici!$L43=Pronostici!$M43,"X","2"))))</f>
        <v/>
      </c>
      <c r="M43" s="63">
        <f>IF(Pronostici!$N43&lt;&gt;"",UPPER(Pronostici!$N43),IF(OR(Pronostici!$O43="",Pronostici!$P43=""),"",IF(Pronostici!$O43&gt;Pronostici!$P43,"1",IF(Pronostici!$O43=Pronostici!$P43,"X","2"))))</f>
        <v/>
      </c>
      <c r="N43" s="63">
        <f>IF(Pronostici!$Q43&lt;&gt;"",UPPER(Pronostici!$Q43),IF(OR(Pronostici!$R43="",Pronostici!$S43=""),"",IF(Pronostici!$R43&gt;Pronostici!$S43,"1",IF(Pronostici!$R43=Pronostici!$S43,"X","2"))))</f>
        <v/>
      </c>
    </row>
    <row r="44">
      <c r="A44" s="69">
        <f>Partite!$A44</f>
        <v/>
      </c>
      <c r="B44" s="25">
        <f>Partite!$B44</f>
        <v/>
      </c>
      <c r="C44" s="43">
        <f>IF(Partite!$E44="","",Partite!$E44&amp;"  -  "&amp;Partite!$F44)</f>
        <v/>
      </c>
      <c r="D44" s="22">
        <f>IF(Partite!$K44&lt;&gt;"Giocata","",IF(AND(Pronostici!$F44&lt;&gt;"",Pronostici!$G44&lt;&gt;"",Pronostici!$F44=Partite!$G44,Pronostici!$G44=Partite!$H44),Config!$D$6,IF(AND($J44&lt;&gt;"",$J44=Partite!$I44),Config!$D$7,Config!$D$8)))</f>
        <v/>
      </c>
      <c r="E44" s="22">
        <f>IF(Partite!$K44&lt;&gt;"Giocata","",IF(AND(Pronostici!$I44&lt;&gt;"",Pronostici!$J44&lt;&gt;"",Pronostici!$I44=Partite!$G44,Pronostici!$J44=Partite!$H44),Config!$D$6,IF(AND($K44&lt;&gt;"",$K44=Partite!$I44),Config!$D$7,Config!$D$8)))</f>
        <v/>
      </c>
      <c r="F44" s="22">
        <f>IF(Partite!$K44&lt;&gt;"Giocata","",IF(AND(Pronostici!$L44&lt;&gt;"",Pronostici!$M44&lt;&gt;"",Pronostici!$L44=Partite!$G44,Pronostici!$M44=Partite!$H44),Config!$D$6,IF(AND($L44&lt;&gt;"",$L44=Partite!$I44),Config!$D$7,Config!$D$8)))</f>
        <v/>
      </c>
      <c r="G44" s="22">
        <f>IF(Partite!$K44&lt;&gt;"Giocata","",IF(AND(Pronostici!$O44&lt;&gt;"",Pronostici!$P44&lt;&gt;"",Pronostici!$O44=Partite!$G44,Pronostici!$P44=Partite!$H44),Config!$D$6,IF(AND($M44&lt;&gt;"",$M44=Partite!$I44),Config!$D$7,Config!$D$8)))</f>
        <v/>
      </c>
      <c r="H44" s="22">
        <f>IF(Partite!$K44&lt;&gt;"Giocata","",IF(AND(Pronostici!$R44&lt;&gt;"",Pronostici!$S44&lt;&gt;"",Pronostici!$R44=Partite!$G44,Pronostici!$S44=Partite!$H44),Config!$D$6,IF(AND($N44&lt;&gt;"",$N44=Partite!$I44),Config!$D$7,Config!$D$8)))</f>
        <v/>
      </c>
      <c r="J44" s="63">
        <f>IF(Pronostici!$E44&lt;&gt;"",UPPER(Pronostici!$E44),IF(OR(Pronostici!$F44="",Pronostici!$G44=""),"",IF(Pronostici!$F44&gt;Pronostici!$G44,"1",IF(Pronostici!$F44=Pronostici!$G44,"X","2"))))</f>
        <v/>
      </c>
      <c r="K44" s="63">
        <f>IF(Pronostici!$H44&lt;&gt;"",UPPER(Pronostici!$H44),IF(OR(Pronostici!$I44="",Pronostici!$J44=""),"",IF(Pronostici!$I44&gt;Pronostici!$J44,"1",IF(Pronostici!$I44=Pronostici!$J44,"X","2"))))</f>
        <v/>
      </c>
      <c r="L44" s="63">
        <f>IF(Pronostici!$K44&lt;&gt;"",UPPER(Pronostici!$K44),IF(OR(Pronostici!$L44="",Pronostici!$M44=""),"",IF(Pronostici!$L44&gt;Pronostici!$M44,"1",IF(Pronostici!$L44=Pronostici!$M44,"X","2"))))</f>
        <v/>
      </c>
      <c r="M44" s="63">
        <f>IF(Pronostici!$N44&lt;&gt;"",UPPER(Pronostici!$N44),IF(OR(Pronostici!$O44="",Pronostici!$P44=""),"",IF(Pronostici!$O44&gt;Pronostici!$P44,"1",IF(Pronostici!$O44=Pronostici!$P44,"X","2"))))</f>
        <v/>
      </c>
      <c r="N44" s="63">
        <f>IF(Pronostici!$Q44&lt;&gt;"",UPPER(Pronostici!$Q44),IF(OR(Pronostici!$R44="",Pronostici!$S44=""),"",IF(Pronostici!$R44&gt;Pronostici!$S44,"1",IF(Pronostici!$R44=Pronostici!$S44,"X","2"))))</f>
        <v/>
      </c>
    </row>
    <row r="45">
      <c r="A45" s="69">
        <f>Partite!$A45</f>
        <v/>
      </c>
      <c r="B45" s="25">
        <f>Partite!$B45</f>
        <v/>
      </c>
      <c r="C45" s="43">
        <f>IF(Partite!$E45="","",Partite!$E45&amp;"  -  "&amp;Partite!$F45)</f>
        <v/>
      </c>
      <c r="D45" s="22">
        <f>IF(Partite!$K45&lt;&gt;"Giocata","",IF(AND(Pronostici!$F45&lt;&gt;"",Pronostici!$G45&lt;&gt;"",Pronostici!$F45=Partite!$G45,Pronostici!$G45=Partite!$H45),Config!$D$6,IF(AND($J45&lt;&gt;"",$J45=Partite!$I45),Config!$D$7,Config!$D$8)))</f>
        <v/>
      </c>
      <c r="E45" s="22">
        <f>IF(Partite!$K45&lt;&gt;"Giocata","",IF(AND(Pronostici!$I45&lt;&gt;"",Pronostici!$J45&lt;&gt;"",Pronostici!$I45=Partite!$G45,Pronostici!$J45=Partite!$H45),Config!$D$6,IF(AND($K45&lt;&gt;"",$K45=Partite!$I45),Config!$D$7,Config!$D$8)))</f>
        <v/>
      </c>
      <c r="F45" s="22">
        <f>IF(Partite!$K45&lt;&gt;"Giocata","",IF(AND(Pronostici!$L45&lt;&gt;"",Pronostici!$M45&lt;&gt;"",Pronostici!$L45=Partite!$G45,Pronostici!$M45=Partite!$H45),Config!$D$6,IF(AND($L45&lt;&gt;"",$L45=Partite!$I45),Config!$D$7,Config!$D$8)))</f>
        <v/>
      </c>
      <c r="G45" s="22">
        <f>IF(Partite!$K45&lt;&gt;"Giocata","",IF(AND(Pronostici!$O45&lt;&gt;"",Pronostici!$P45&lt;&gt;"",Pronostici!$O45=Partite!$G45,Pronostici!$P45=Partite!$H45),Config!$D$6,IF(AND($M45&lt;&gt;"",$M45=Partite!$I45),Config!$D$7,Config!$D$8)))</f>
        <v/>
      </c>
      <c r="H45" s="22">
        <f>IF(Partite!$K45&lt;&gt;"Giocata","",IF(AND(Pronostici!$R45&lt;&gt;"",Pronostici!$S45&lt;&gt;"",Pronostici!$R45=Partite!$G45,Pronostici!$S45=Partite!$H45),Config!$D$6,IF(AND($N45&lt;&gt;"",$N45=Partite!$I45),Config!$D$7,Config!$D$8)))</f>
        <v/>
      </c>
      <c r="J45" s="63">
        <f>IF(Pronostici!$E45&lt;&gt;"",UPPER(Pronostici!$E45),IF(OR(Pronostici!$F45="",Pronostici!$G45=""),"",IF(Pronostici!$F45&gt;Pronostici!$G45,"1",IF(Pronostici!$F45=Pronostici!$G45,"X","2"))))</f>
        <v/>
      </c>
      <c r="K45" s="63">
        <f>IF(Pronostici!$H45&lt;&gt;"",UPPER(Pronostici!$H45),IF(OR(Pronostici!$I45="",Pronostici!$J45=""),"",IF(Pronostici!$I45&gt;Pronostici!$J45,"1",IF(Pronostici!$I45=Pronostici!$J45,"X","2"))))</f>
        <v/>
      </c>
      <c r="L45" s="63">
        <f>IF(Pronostici!$K45&lt;&gt;"",UPPER(Pronostici!$K45),IF(OR(Pronostici!$L45="",Pronostici!$M45=""),"",IF(Pronostici!$L45&gt;Pronostici!$M45,"1",IF(Pronostici!$L45=Pronostici!$M45,"X","2"))))</f>
        <v/>
      </c>
      <c r="M45" s="63">
        <f>IF(Pronostici!$N45&lt;&gt;"",UPPER(Pronostici!$N45),IF(OR(Pronostici!$O45="",Pronostici!$P45=""),"",IF(Pronostici!$O45&gt;Pronostici!$P45,"1",IF(Pronostici!$O45=Pronostici!$P45,"X","2"))))</f>
        <v/>
      </c>
      <c r="N45" s="63">
        <f>IF(Pronostici!$Q45&lt;&gt;"",UPPER(Pronostici!$Q45),IF(OR(Pronostici!$R45="",Pronostici!$S45=""),"",IF(Pronostici!$R45&gt;Pronostici!$S45,"1",IF(Pronostici!$R45=Pronostici!$S45,"X","2"))))</f>
        <v/>
      </c>
    </row>
    <row r="46">
      <c r="A46" s="69">
        <f>Partite!$A46</f>
        <v/>
      </c>
      <c r="B46" s="25">
        <f>Partite!$B46</f>
        <v/>
      </c>
      <c r="C46" s="43">
        <f>IF(Partite!$E46="","",Partite!$E46&amp;"  -  "&amp;Partite!$F46)</f>
        <v/>
      </c>
      <c r="D46" s="22">
        <f>IF(Partite!$K46&lt;&gt;"Giocata","",IF(AND(Pronostici!$F46&lt;&gt;"",Pronostici!$G46&lt;&gt;"",Pronostici!$F46=Partite!$G46,Pronostici!$G46=Partite!$H46),Config!$D$6,IF(AND($J46&lt;&gt;"",$J46=Partite!$I46),Config!$D$7,Config!$D$8)))</f>
        <v/>
      </c>
      <c r="E46" s="22">
        <f>IF(Partite!$K46&lt;&gt;"Giocata","",IF(AND(Pronostici!$I46&lt;&gt;"",Pronostici!$J46&lt;&gt;"",Pronostici!$I46=Partite!$G46,Pronostici!$J46=Partite!$H46),Config!$D$6,IF(AND($K46&lt;&gt;"",$K46=Partite!$I46),Config!$D$7,Config!$D$8)))</f>
        <v/>
      </c>
      <c r="F46" s="22">
        <f>IF(Partite!$K46&lt;&gt;"Giocata","",IF(AND(Pronostici!$L46&lt;&gt;"",Pronostici!$M46&lt;&gt;"",Pronostici!$L46=Partite!$G46,Pronostici!$M46=Partite!$H46),Config!$D$6,IF(AND($L46&lt;&gt;"",$L46=Partite!$I46),Config!$D$7,Config!$D$8)))</f>
        <v/>
      </c>
      <c r="G46" s="22">
        <f>IF(Partite!$K46&lt;&gt;"Giocata","",IF(AND(Pronostici!$O46&lt;&gt;"",Pronostici!$P46&lt;&gt;"",Pronostici!$O46=Partite!$G46,Pronostici!$P46=Partite!$H46),Config!$D$6,IF(AND($M46&lt;&gt;"",$M46=Partite!$I46),Config!$D$7,Config!$D$8)))</f>
        <v/>
      </c>
      <c r="H46" s="22">
        <f>IF(Partite!$K46&lt;&gt;"Giocata","",IF(AND(Pronostici!$R46&lt;&gt;"",Pronostici!$S46&lt;&gt;"",Pronostici!$R46=Partite!$G46,Pronostici!$S46=Partite!$H46),Config!$D$6,IF(AND($N46&lt;&gt;"",$N46=Partite!$I46),Config!$D$7,Config!$D$8)))</f>
        <v/>
      </c>
      <c r="J46" s="63">
        <f>IF(Pronostici!$E46&lt;&gt;"",UPPER(Pronostici!$E46),IF(OR(Pronostici!$F46="",Pronostici!$G46=""),"",IF(Pronostici!$F46&gt;Pronostici!$G46,"1",IF(Pronostici!$F46=Pronostici!$G46,"X","2"))))</f>
        <v/>
      </c>
      <c r="K46" s="63">
        <f>IF(Pronostici!$H46&lt;&gt;"",UPPER(Pronostici!$H46),IF(OR(Pronostici!$I46="",Pronostici!$J46=""),"",IF(Pronostici!$I46&gt;Pronostici!$J46,"1",IF(Pronostici!$I46=Pronostici!$J46,"X","2"))))</f>
        <v/>
      </c>
      <c r="L46" s="63">
        <f>IF(Pronostici!$K46&lt;&gt;"",UPPER(Pronostici!$K46),IF(OR(Pronostici!$L46="",Pronostici!$M46=""),"",IF(Pronostici!$L46&gt;Pronostici!$M46,"1",IF(Pronostici!$L46=Pronostici!$M46,"X","2"))))</f>
        <v/>
      </c>
      <c r="M46" s="63">
        <f>IF(Pronostici!$N46&lt;&gt;"",UPPER(Pronostici!$N46),IF(OR(Pronostici!$O46="",Pronostici!$P46=""),"",IF(Pronostici!$O46&gt;Pronostici!$P46,"1",IF(Pronostici!$O46=Pronostici!$P46,"X","2"))))</f>
        <v/>
      </c>
      <c r="N46" s="63">
        <f>IF(Pronostici!$Q46&lt;&gt;"",UPPER(Pronostici!$Q46),IF(OR(Pronostici!$R46="",Pronostici!$S46=""),"",IF(Pronostici!$R46&gt;Pronostici!$S46,"1",IF(Pronostici!$R46=Pronostici!$S46,"X","2"))))</f>
        <v/>
      </c>
    </row>
    <row r="47">
      <c r="A47" s="69">
        <f>Partite!$A47</f>
        <v/>
      </c>
      <c r="B47" s="25">
        <f>Partite!$B47</f>
        <v/>
      </c>
      <c r="C47" s="43">
        <f>IF(Partite!$E47="","",Partite!$E47&amp;"  -  "&amp;Partite!$F47)</f>
        <v/>
      </c>
      <c r="D47" s="22">
        <f>IF(Partite!$K47&lt;&gt;"Giocata","",IF(AND(Pronostici!$F47&lt;&gt;"",Pronostici!$G47&lt;&gt;"",Pronostici!$F47=Partite!$G47,Pronostici!$G47=Partite!$H47),Config!$D$6,IF(AND($J47&lt;&gt;"",$J47=Partite!$I47),Config!$D$7,Config!$D$8)))</f>
        <v/>
      </c>
      <c r="E47" s="22">
        <f>IF(Partite!$K47&lt;&gt;"Giocata","",IF(AND(Pronostici!$I47&lt;&gt;"",Pronostici!$J47&lt;&gt;"",Pronostici!$I47=Partite!$G47,Pronostici!$J47=Partite!$H47),Config!$D$6,IF(AND($K47&lt;&gt;"",$K47=Partite!$I47),Config!$D$7,Config!$D$8)))</f>
        <v/>
      </c>
      <c r="F47" s="22">
        <f>IF(Partite!$K47&lt;&gt;"Giocata","",IF(AND(Pronostici!$L47&lt;&gt;"",Pronostici!$M47&lt;&gt;"",Pronostici!$L47=Partite!$G47,Pronostici!$M47=Partite!$H47),Config!$D$6,IF(AND($L47&lt;&gt;"",$L47=Partite!$I47),Config!$D$7,Config!$D$8)))</f>
        <v/>
      </c>
      <c r="G47" s="22">
        <f>IF(Partite!$K47&lt;&gt;"Giocata","",IF(AND(Pronostici!$O47&lt;&gt;"",Pronostici!$P47&lt;&gt;"",Pronostici!$O47=Partite!$G47,Pronostici!$P47=Partite!$H47),Config!$D$6,IF(AND($M47&lt;&gt;"",$M47=Partite!$I47),Config!$D$7,Config!$D$8)))</f>
        <v/>
      </c>
      <c r="H47" s="22">
        <f>IF(Partite!$K47&lt;&gt;"Giocata","",IF(AND(Pronostici!$R47&lt;&gt;"",Pronostici!$S47&lt;&gt;"",Pronostici!$R47=Partite!$G47,Pronostici!$S47=Partite!$H47),Config!$D$6,IF(AND($N47&lt;&gt;"",$N47=Partite!$I47),Config!$D$7,Config!$D$8)))</f>
        <v/>
      </c>
      <c r="J47" s="63">
        <f>IF(Pronostici!$E47&lt;&gt;"",UPPER(Pronostici!$E47),IF(OR(Pronostici!$F47="",Pronostici!$G47=""),"",IF(Pronostici!$F47&gt;Pronostici!$G47,"1",IF(Pronostici!$F47=Pronostici!$G47,"X","2"))))</f>
        <v/>
      </c>
      <c r="K47" s="63">
        <f>IF(Pronostici!$H47&lt;&gt;"",UPPER(Pronostici!$H47),IF(OR(Pronostici!$I47="",Pronostici!$J47=""),"",IF(Pronostici!$I47&gt;Pronostici!$J47,"1",IF(Pronostici!$I47=Pronostici!$J47,"X","2"))))</f>
        <v/>
      </c>
      <c r="L47" s="63">
        <f>IF(Pronostici!$K47&lt;&gt;"",UPPER(Pronostici!$K47),IF(OR(Pronostici!$L47="",Pronostici!$M47=""),"",IF(Pronostici!$L47&gt;Pronostici!$M47,"1",IF(Pronostici!$L47=Pronostici!$M47,"X","2"))))</f>
        <v/>
      </c>
      <c r="M47" s="63">
        <f>IF(Pronostici!$N47&lt;&gt;"",UPPER(Pronostici!$N47),IF(OR(Pronostici!$O47="",Pronostici!$P47=""),"",IF(Pronostici!$O47&gt;Pronostici!$P47,"1",IF(Pronostici!$O47=Pronostici!$P47,"X","2"))))</f>
        <v/>
      </c>
      <c r="N47" s="63">
        <f>IF(Pronostici!$Q47&lt;&gt;"",UPPER(Pronostici!$Q47),IF(OR(Pronostici!$R47="",Pronostici!$S47=""),"",IF(Pronostici!$R47&gt;Pronostici!$S47,"1",IF(Pronostici!$R47=Pronostici!$S47,"X","2"))))</f>
        <v/>
      </c>
    </row>
    <row r="48">
      <c r="A48" s="69">
        <f>Partite!$A48</f>
        <v/>
      </c>
      <c r="B48" s="25">
        <f>Partite!$B48</f>
        <v/>
      </c>
      <c r="C48" s="43">
        <f>IF(Partite!$E48="","",Partite!$E48&amp;"  -  "&amp;Partite!$F48)</f>
        <v/>
      </c>
      <c r="D48" s="22">
        <f>IF(Partite!$K48&lt;&gt;"Giocata","",IF(AND(Pronostici!$F48&lt;&gt;"",Pronostici!$G48&lt;&gt;"",Pronostici!$F48=Partite!$G48,Pronostici!$G48=Partite!$H48),Config!$D$6,IF(AND($J48&lt;&gt;"",$J48=Partite!$I48),Config!$D$7,Config!$D$8)))</f>
        <v/>
      </c>
      <c r="E48" s="22">
        <f>IF(Partite!$K48&lt;&gt;"Giocata","",IF(AND(Pronostici!$I48&lt;&gt;"",Pronostici!$J48&lt;&gt;"",Pronostici!$I48=Partite!$G48,Pronostici!$J48=Partite!$H48),Config!$D$6,IF(AND($K48&lt;&gt;"",$K48=Partite!$I48),Config!$D$7,Config!$D$8)))</f>
        <v/>
      </c>
      <c r="F48" s="22">
        <f>IF(Partite!$K48&lt;&gt;"Giocata","",IF(AND(Pronostici!$L48&lt;&gt;"",Pronostici!$M48&lt;&gt;"",Pronostici!$L48=Partite!$G48,Pronostici!$M48=Partite!$H48),Config!$D$6,IF(AND($L48&lt;&gt;"",$L48=Partite!$I48),Config!$D$7,Config!$D$8)))</f>
        <v/>
      </c>
      <c r="G48" s="22">
        <f>IF(Partite!$K48&lt;&gt;"Giocata","",IF(AND(Pronostici!$O48&lt;&gt;"",Pronostici!$P48&lt;&gt;"",Pronostici!$O48=Partite!$G48,Pronostici!$P48=Partite!$H48),Config!$D$6,IF(AND($M48&lt;&gt;"",$M48=Partite!$I48),Config!$D$7,Config!$D$8)))</f>
        <v/>
      </c>
      <c r="H48" s="22">
        <f>IF(Partite!$K48&lt;&gt;"Giocata","",IF(AND(Pronostici!$R48&lt;&gt;"",Pronostici!$S48&lt;&gt;"",Pronostici!$R48=Partite!$G48,Pronostici!$S48=Partite!$H48),Config!$D$6,IF(AND($N48&lt;&gt;"",$N48=Partite!$I48),Config!$D$7,Config!$D$8)))</f>
        <v/>
      </c>
      <c r="J48" s="63">
        <f>IF(Pronostici!$E48&lt;&gt;"",UPPER(Pronostici!$E48),IF(OR(Pronostici!$F48="",Pronostici!$G48=""),"",IF(Pronostici!$F48&gt;Pronostici!$G48,"1",IF(Pronostici!$F48=Pronostici!$G48,"X","2"))))</f>
        <v/>
      </c>
      <c r="K48" s="63">
        <f>IF(Pronostici!$H48&lt;&gt;"",UPPER(Pronostici!$H48),IF(OR(Pronostici!$I48="",Pronostici!$J48=""),"",IF(Pronostici!$I48&gt;Pronostici!$J48,"1",IF(Pronostici!$I48=Pronostici!$J48,"X","2"))))</f>
        <v/>
      </c>
      <c r="L48" s="63">
        <f>IF(Pronostici!$K48&lt;&gt;"",UPPER(Pronostici!$K48),IF(OR(Pronostici!$L48="",Pronostici!$M48=""),"",IF(Pronostici!$L48&gt;Pronostici!$M48,"1",IF(Pronostici!$L48=Pronostici!$M48,"X","2"))))</f>
        <v/>
      </c>
      <c r="M48" s="63">
        <f>IF(Pronostici!$N48&lt;&gt;"",UPPER(Pronostici!$N48),IF(OR(Pronostici!$O48="",Pronostici!$P48=""),"",IF(Pronostici!$O48&gt;Pronostici!$P48,"1",IF(Pronostici!$O48=Pronostici!$P48,"X","2"))))</f>
        <v/>
      </c>
      <c r="N48" s="63">
        <f>IF(Pronostici!$Q48&lt;&gt;"",UPPER(Pronostici!$Q48),IF(OR(Pronostici!$R48="",Pronostici!$S48=""),"",IF(Pronostici!$R48&gt;Pronostici!$S48,"1",IF(Pronostici!$R48=Pronostici!$S48,"X","2"))))</f>
        <v/>
      </c>
    </row>
    <row r="49">
      <c r="A49" s="69">
        <f>Partite!$A49</f>
        <v/>
      </c>
      <c r="B49" s="25">
        <f>Partite!$B49</f>
        <v/>
      </c>
      <c r="C49" s="43">
        <f>IF(Partite!$E49="","",Partite!$E49&amp;"  -  "&amp;Partite!$F49)</f>
        <v/>
      </c>
      <c r="D49" s="22">
        <f>IF(Partite!$K49&lt;&gt;"Giocata","",IF(AND(Pronostici!$F49&lt;&gt;"",Pronostici!$G49&lt;&gt;"",Pronostici!$F49=Partite!$G49,Pronostici!$G49=Partite!$H49),Config!$D$6,IF(AND($J49&lt;&gt;"",$J49=Partite!$I49),Config!$D$7,Config!$D$8)))</f>
        <v/>
      </c>
      <c r="E49" s="22">
        <f>IF(Partite!$K49&lt;&gt;"Giocata","",IF(AND(Pronostici!$I49&lt;&gt;"",Pronostici!$J49&lt;&gt;"",Pronostici!$I49=Partite!$G49,Pronostici!$J49=Partite!$H49),Config!$D$6,IF(AND($K49&lt;&gt;"",$K49=Partite!$I49),Config!$D$7,Config!$D$8)))</f>
        <v/>
      </c>
      <c r="F49" s="22">
        <f>IF(Partite!$K49&lt;&gt;"Giocata","",IF(AND(Pronostici!$L49&lt;&gt;"",Pronostici!$M49&lt;&gt;"",Pronostici!$L49=Partite!$G49,Pronostici!$M49=Partite!$H49),Config!$D$6,IF(AND($L49&lt;&gt;"",$L49=Partite!$I49),Config!$D$7,Config!$D$8)))</f>
        <v/>
      </c>
      <c r="G49" s="22">
        <f>IF(Partite!$K49&lt;&gt;"Giocata","",IF(AND(Pronostici!$O49&lt;&gt;"",Pronostici!$P49&lt;&gt;"",Pronostici!$O49=Partite!$G49,Pronostici!$P49=Partite!$H49),Config!$D$6,IF(AND($M49&lt;&gt;"",$M49=Partite!$I49),Config!$D$7,Config!$D$8)))</f>
        <v/>
      </c>
      <c r="H49" s="22">
        <f>IF(Partite!$K49&lt;&gt;"Giocata","",IF(AND(Pronostici!$R49&lt;&gt;"",Pronostici!$S49&lt;&gt;"",Pronostici!$R49=Partite!$G49,Pronostici!$S49=Partite!$H49),Config!$D$6,IF(AND($N49&lt;&gt;"",$N49=Partite!$I49),Config!$D$7,Config!$D$8)))</f>
        <v/>
      </c>
      <c r="J49" s="63">
        <f>IF(Pronostici!$E49&lt;&gt;"",UPPER(Pronostici!$E49),IF(OR(Pronostici!$F49="",Pronostici!$G49=""),"",IF(Pronostici!$F49&gt;Pronostici!$G49,"1",IF(Pronostici!$F49=Pronostici!$G49,"X","2"))))</f>
        <v/>
      </c>
      <c r="K49" s="63">
        <f>IF(Pronostici!$H49&lt;&gt;"",UPPER(Pronostici!$H49),IF(OR(Pronostici!$I49="",Pronostici!$J49=""),"",IF(Pronostici!$I49&gt;Pronostici!$J49,"1",IF(Pronostici!$I49=Pronostici!$J49,"X","2"))))</f>
        <v/>
      </c>
      <c r="L49" s="63">
        <f>IF(Pronostici!$K49&lt;&gt;"",UPPER(Pronostici!$K49),IF(OR(Pronostici!$L49="",Pronostici!$M49=""),"",IF(Pronostici!$L49&gt;Pronostici!$M49,"1",IF(Pronostici!$L49=Pronostici!$M49,"X","2"))))</f>
        <v/>
      </c>
      <c r="M49" s="63">
        <f>IF(Pronostici!$N49&lt;&gt;"",UPPER(Pronostici!$N49),IF(OR(Pronostici!$O49="",Pronostici!$P49=""),"",IF(Pronostici!$O49&gt;Pronostici!$P49,"1",IF(Pronostici!$O49=Pronostici!$P49,"X","2"))))</f>
        <v/>
      </c>
      <c r="N49" s="63">
        <f>IF(Pronostici!$Q49&lt;&gt;"",UPPER(Pronostici!$Q49),IF(OR(Pronostici!$R49="",Pronostici!$S49=""),"",IF(Pronostici!$R49&gt;Pronostici!$S49,"1",IF(Pronostici!$R49=Pronostici!$S49,"X","2"))))</f>
        <v/>
      </c>
    </row>
    <row r="50">
      <c r="A50" s="69">
        <f>Partite!$A50</f>
        <v/>
      </c>
      <c r="B50" s="25">
        <f>Partite!$B50</f>
        <v/>
      </c>
      <c r="C50" s="43">
        <f>IF(Partite!$E50="","",Partite!$E50&amp;"  -  "&amp;Partite!$F50)</f>
        <v/>
      </c>
      <c r="D50" s="22">
        <f>IF(Partite!$K50&lt;&gt;"Giocata","",IF(AND(Pronostici!$F50&lt;&gt;"",Pronostici!$G50&lt;&gt;"",Pronostici!$F50=Partite!$G50,Pronostici!$G50=Partite!$H50),Config!$D$6,IF(AND($J50&lt;&gt;"",$J50=Partite!$I50),Config!$D$7,Config!$D$8)))</f>
        <v/>
      </c>
      <c r="E50" s="22">
        <f>IF(Partite!$K50&lt;&gt;"Giocata","",IF(AND(Pronostici!$I50&lt;&gt;"",Pronostici!$J50&lt;&gt;"",Pronostici!$I50=Partite!$G50,Pronostici!$J50=Partite!$H50),Config!$D$6,IF(AND($K50&lt;&gt;"",$K50=Partite!$I50),Config!$D$7,Config!$D$8)))</f>
        <v/>
      </c>
      <c r="F50" s="22">
        <f>IF(Partite!$K50&lt;&gt;"Giocata","",IF(AND(Pronostici!$L50&lt;&gt;"",Pronostici!$M50&lt;&gt;"",Pronostici!$L50=Partite!$G50,Pronostici!$M50=Partite!$H50),Config!$D$6,IF(AND($L50&lt;&gt;"",$L50=Partite!$I50),Config!$D$7,Config!$D$8)))</f>
        <v/>
      </c>
      <c r="G50" s="22">
        <f>IF(Partite!$K50&lt;&gt;"Giocata","",IF(AND(Pronostici!$O50&lt;&gt;"",Pronostici!$P50&lt;&gt;"",Pronostici!$O50=Partite!$G50,Pronostici!$P50=Partite!$H50),Config!$D$6,IF(AND($M50&lt;&gt;"",$M50=Partite!$I50),Config!$D$7,Config!$D$8)))</f>
        <v/>
      </c>
      <c r="H50" s="22">
        <f>IF(Partite!$K50&lt;&gt;"Giocata","",IF(AND(Pronostici!$R50&lt;&gt;"",Pronostici!$S50&lt;&gt;"",Pronostici!$R50=Partite!$G50,Pronostici!$S50=Partite!$H50),Config!$D$6,IF(AND($N50&lt;&gt;"",$N50=Partite!$I50),Config!$D$7,Config!$D$8)))</f>
        <v/>
      </c>
      <c r="J50" s="63">
        <f>IF(Pronostici!$E50&lt;&gt;"",UPPER(Pronostici!$E50),IF(OR(Pronostici!$F50="",Pronostici!$G50=""),"",IF(Pronostici!$F50&gt;Pronostici!$G50,"1",IF(Pronostici!$F50=Pronostici!$G50,"X","2"))))</f>
        <v/>
      </c>
      <c r="K50" s="63">
        <f>IF(Pronostici!$H50&lt;&gt;"",UPPER(Pronostici!$H50),IF(OR(Pronostici!$I50="",Pronostici!$J50=""),"",IF(Pronostici!$I50&gt;Pronostici!$J50,"1",IF(Pronostici!$I50=Pronostici!$J50,"X","2"))))</f>
        <v/>
      </c>
      <c r="L50" s="63">
        <f>IF(Pronostici!$K50&lt;&gt;"",UPPER(Pronostici!$K50),IF(OR(Pronostici!$L50="",Pronostici!$M50=""),"",IF(Pronostici!$L50&gt;Pronostici!$M50,"1",IF(Pronostici!$L50=Pronostici!$M50,"X","2"))))</f>
        <v/>
      </c>
      <c r="M50" s="63">
        <f>IF(Pronostici!$N50&lt;&gt;"",UPPER(Pronostici!$N50),IF(OR(Pronostici!$O50="",Pronostici!$P50=""),"",IF(Pronostici!$O50&gt;Pronostici!$P50,"1",IF(Pronostici!$O50=Pronostici!$P50,"X","2"))))</f>
        <v/>
      </c>
      <c r="N50" s="63">
        <f>IF(Pronostici!$Q50&lt;&gt;"",UPPER(Pronostici!$Q50),IF(OR(Pronostici!$R50="",Pronostici!$S50=""),"",IF(Pronostici!$R50&gt;Pronostici!$S50,"1",IF(Pronostici!$R50=Pronostici!$S50,"X","2"))))</f>
        <v/>
      </c>
    </row>
    <row r="51">
      <c r="A51" s="69">
        <f>Partite!$A51</f>
        <v/>
      </c>
      <c r="B51" s="25">
        <f>Partite!$B51</f>
        <v/>
      </c>
      <c r="C51" s="43">
        <f>IF(Partite!$E51="","",Partite!$E51&amp;"  -  "&amp;Partite!$F51)</f>
        <v/>
      </c>
      <c r="D51" s="22">
        <f>IF(Partite!$K51&lt;&gt;"Giocata","",IF(AND(Pronostici!$F51&lt;&gt;"",Pronostici!$G51&lt;&gt;"",Pronostici!$F51=Partite!$G51,Pronostici!$G51=Partite!$H51),Config!$D$6,IF(AND($J51&lt;&gt;"",$J51=Partite!$I51),Config!$D$7,Config!$D$8)))</f>
        <v/>
      </c>
      <c r="E51" s="22">
        <f>IF(Partite!$K51&lt;&gt;"Giocata","",IF(AND(Pronostici!$I51&lt;&gt;"",Pronostici!$J51&lt;&gt;"",Pronostici!$I51=Partite!$G51,Pronostici!$J51=Partite!$H51),Config!$D$6,IF(AND($K51&lt;&gt;"",$K51=Partite!$I51),Config!$D$7,Config!$D$8)))</f>
        <v/>
      </c>
      <c r="F51" s="22">
        <f>IF(Partite!$K51&lt;&gt;"Giocata","",IF(AND(Pronostici!$L51&lt;&gt;"",Pronostici!$M51&lt;&gt;"",Pronostici!$L51=Partite!$G51,Pronostici!$M51=Partite!$H51),Config!$D$6,IF(AND($L51&lt;&gt;"",$L51=Partite!$I51),Config!$D$7,Config!$D$8)))</f>
        <v/>
      </c>
      <c r="G51" s="22">
        <f>IF(Partite!$K51&lt;&gt;"Giocata","",IF(AND(Pronostici!$O51&lt;&gt;"",Pronostici!$P51&lt;&gt;"",Pronostici!$O51=Partite!$G51,Pronostici!$P51=Partite!$H51),Config!$D$6,IF(AND($M51&lt;&gt;"",$M51=Partite!$I51),Config!$D$7,Config!$D$8)))</f>
        <v/>
      </c>
      <c r="H51" s="22">
        <f>IF(Partite!$K51&lt;&gt;"Giocata","",IF(AND(Pronostici!$R51&lt;&gt;"",Pronostici!$S51&lt;&gt;"",Pronostici!$R51=Partite!$G51,Pronostici!$S51=Partite!$H51),Config!$D$6,IF(AND($N51&lt;&gt;"",$N51=Partite!$I51),Config!$D$7,Config!$D$8)))</f>
        <v/>
      </c>
      <c r="J51" s="63">
        <f>IF(Pronostici!$E51&lt;&gt;"",UPPER(Pronostici!$E51),IF(OR(Pronostici!$F51="",Pronostici!$G51=""),"",IF(Pronostici!$F51&gt;Pronostici!$G51,"1",IF(Pronostici!$F51=Pronostici!$G51,"X","2"))))</f>
        <v/>
      </c>
      <c r="K51" s="63">
        <f>IF(Pronostici!$H51&lt;&gt;"",UPPER(Pronostici!$H51),IF(OR(Pronostici!$I51="",Pronostici!$J51=""),"",IF(Pronostici!$I51&gt;Pronostici!$J51,"1",IF(Pronostici!$I51=Pronostici!$J51,"X","2"))))</f>
        <v/>
      </c>
      <c r="L51" s="63">
        <f>IF(Pronostici!$K51&lt;&gt;"",UPPER(Pronostici!$K51),IF(OR(Pronostici!$L51="",Pronostici!$M51=""),"",IF(Pronostici!$L51&gt;Pronostici!$M51,"1",IF(Pronostici!$L51=Pronostici!$M51,"X","2"))))</f>
        <v/>
      </c>
      <c r="M51" s="63">
        <f>IF(Pronostici!$N51&lt;&gt;"",UPPER(Pronostici!$N51),IF(OR(Pronostici!$O51="",Pronostici!$P51=""),"",IF(Pronostici!$O51&gt;Pronostici!$P51,"1",IF(Pronostici!$O51=Pronostici!$P51,"X","2"))))</f>
        <v/>
      </c>
      <c r="N51" s="63">
        <f>IF(Pronostici!$Q51&lt;&gt;"",UPPER(Pronostici!$Q51),IF(OR(Pronostici!$R51="",Pronostici!$S51=""),"",IF(Pronostici!$R51&gt;Pronostici!$S51,"1",IF(Pronostici!$R51=Pronostici!$S51,"X","2"))))</f>
        <v/>
      </c>
    </row>
    <row r="52">
      <c r="A52" s="69">
        <f>Partite!$A52</f>
        <v/>
      </c>
      <c r="B52" s="25">
        <f>Partite!$B52</f>
        <v/>
      </c>
      <c r="C52" s="43">
        <f>IF(Partite!$E52="","",Partite!$E52&amp;"  -  "&amp;Partite!$F52)</f>
        <v/>
      </c>
      <c r="D52" s="22">
        <f>IF(Partite!$K52&lt;&gt;"Giocata","",IF(AND(Pronostici!$F52&lt;&gt;"",Pronostici!$G52&lt;&gt;"",Pronostici!$F52=Partite!$G52,Pronostici!$G52=Partite!$H52),Config!$D$6,IF(AND($J52&lt;&gt;"",$J52=Partite!$I52),Config!$D$7,Config!$D$8)))</f>
        <v/>
      </c>
      <c r="E52" s="22">
        <f>IF(Partite!$K52&lt;&gt;"Giocata","",IF(AND(Pronostici!$I52&lt;&gt;"",Pronostici!$J52&lt;&gt;"",Pronostici!$I52=Partite!$G52,Pronostici!$J52=Partite!$H52),Config!$D$6,IF(AND($K52&lt;&gt;"",$K52=Partite!$I52),Config!$D$7,Config!$D$8)))</f>
        <v/>
      </c>
      <c r="F52" s="22">
        <f>IF(Partite!$K52&lt;&gt;"Giocata","",IF(AND(Pronostici!$L52&lt;&gt;"",Pronostici!$M52&lt;&gt;"",Pronostici!$L52=Partite!$G52,Pronostici!$M52=Partite!$H52),Config!$D$6,IF(AND($L52&lt;&gt;"",$L52=Partite!$I52),Config!$D$7,Config!$D$8)))</f>
        <v/>
      </c>
      <c r="G52" s="22">
        <f>IF(Partite!$K52&lt;&gt;"Giocata","",IF(AND(Pronostici!$O52&lt;&gt;"",Pronostici!$P52&lt;&gt;"",Pronostici!$O52=Partite!$G52,Pronostici!$P52=Partite!$H52),Config!$D$6,IF(AND($M52&lt;&gt;"",$M52=Partite!$I52),Config!$D$7,Config!$D$8)))</f>
        <v/>
      </c>
      <c r="H52" s="22">
        <f>IF(Partite!$K52&lt;&gt;"Giocata","",IF(AND(Pronostici!$R52&lt;&gt;"",Pronostici!$S52&lt;&gt;"",Pronostici!$R52=Partite!$G52,Pronostici!$S52=Partite!$H52),Config!$D$6,IF(AND($N52&lt;&gt;"",$N52=Partite!$I52),Config!$D$7,Config!$D$8)))</f>
        <v/>
      </c>
      <c r="J52" s="63">
        <f>IF(Pronostici!$E52&lt;&gt;"",UPPER(Pronostici!$E52),IF(OR(Pronostici!$F52="",Pronostici!$G52=""),"",IF(Pronostici!$F52&gt;Pronostici!$G52,"1",IF(Pronostici!$F52=Pronostici!$G52,"X","2"))))</f>
        <v/>
      </c>
      <c r="K52" s="63">
        <f>IF(Pronostici!$H52&lt;&gt;"",UPPER(Pronostici!$H52),IF(OR(Pronostici!$I52="",Pronostici!$J52=""),"",IF(Pronostici!$I52&gt;Pronostici!$J52,"1",IF(Pronostici!$I52=Pronostici!$J52,"X","2"))))</f>
        <v/>
      </c>
      <c r="L52" s="63">
        <f>IF(Pronostici!$K52&lt;&gt;"",UPPER(Pronostici!$K52),IF(OR(Pronostici!$L52="",Pronostici!$M52=""),"",IF(Pronostici!$L52&gt;Pronostici!$M52,"1",IF(Pronostici!$L52=Pronostici!$M52,"X","2"))))</f>
        <v/>
      </c>
      <c r="M52" s="63">
        <f>IF(Pronostici!$N52&lt;&gt;"",UPPER(Pronostici!$N52),IF(OR(Pronostici!$O52="",Pronostici!$P52=""),"",IF(Pronostici!$O52&gt;Pronostici!$P52,"1",IF(Pronostici!$O52=Pronostici!$P52,"X","2"))))</f>
        <v/>
      </c>
      <c r="N52" s="63">
        <f>IF(Pronostici!$Q52&lt;&gt;"",UPPER(Pronostici!$Q52),IF(OR(Pronostici!$R52="",Pronostici!$S52=""),"",IF(Pronostici!$R52&gt;Pronostici!$S52,"1",IF(Pronostici!$R52=Pronostici!$S52,"X","2"))))</f>
        <v/>
      </c>
    </row>
    <row r="53">
      <c r="A53" s="74">
        <f>Partite!$A53</f>
        <v/>
      </c>
      <c r="B53" s="30">
        <f>Partite!$B53</f>
        <v/>
      </c>
      <c r="C53" s="47">
        <f>IF(Partite!$E53="","",Partite!$E53&amp;"  -  "&amp;Partite!$F53)</f>
        <v/>
      </c>
      <c r="D53" s="27">
        <f>IF(Partite!$K53&lt;&gt;"Giocata","",IF(AND(Pronostici!$F53&lt;&gt;"",Pronostici!$G53&lt;&gt;"",Pronostici!$F53=Partite!$G53,Pronostici!$G53=Partite!$H53),Config!$D$6,IF(AND($J53&lt;&gt;"",$J53=Partite!$I53),Config!$D$7,Config!$D$8)))</f>
        <v/>
      </c>
      <c r="E53" s="27">
        <f>IF(Partite!$K53&lt;&gt;"Giocata","",IF(AND(Pronostici!$I53&lt;&gt;"",Pronostici!$J53&lt;&gt;"",Pronostici!$I53=Partite!$G53,Pronostici!$J53=Partite!$H53),Config!$D$6,IF(AND($K53&lt;&gt;"",$K53=Partite!$I53),Config!$D$7,Config!$D$8)))</f>
        <v/>
      </c>
      <c r="F53" s="27">
        <f>IF(Partite!$K53&lt;&gt;"Giocata","",IF(AND(Pronostici!$L53&lt;&gt;"",Pronostici!$M53&lt;&gt;"",Pronostici!$L53=Partite!$G53,Pronostici!$M53=Partite!$H53),Config!$D$6,IF(AND($L53&lt;&gt;"",$L53=Partite!$I53),Config!$D$7,Config!$D$8)))</f>
        <v/>
      </c>
      <c r="G53" s="27">
        <f>IF(Partite!$K53&lt;&gt;"Giocata","",IF(AND(Pronostici!$O53&lt;&gt;"",Pronostici!$P53&lt;&gt;"",Pronostici!$O53=Partite!$G53,Pronostici!$P53=Partite!$H53),Config!$D$6,IF(AND($M53&lt;&gt;"",$M53=Partite!$I53),Config!$D$7,Config!$D$8)))</f>
        <v/>
      </c>
      <c r="H53" s="27">
        <f>IF(Partite!$K53&lt;&gt;"Giocata","",IF(AND(Pronostici!$R53&lt;&gt;"",Pronostici!$S53&lt;&gt;"",Pronostici!$R53=Partite!$G53,Pronostici!$S53=Partite!$H53),Config!$D$6,IF(AND($N53&lt;&gt;"",$N53=Partite!$I53),Config!$D$7,Config!$D$8)))</f>
        <v/>
      </c>
      <c r="J53" s="63">
        <f>IF(Pronostici!$E53&lt;&gt;"",UPPER(Pronostici!$E53),IF(OR(Pronostici!$F53="",Pronostici!$G53=""),"",IF(Pronostici!$F53&gt;Pronostici!$G53,"1",IF(Pronostici!$F53=Pronostici!$G53,"X","2"))))</f>
        <v/>
      </c>
      <c r="K53" s="63">
        <f>IF(Pronostici!$H53&lt;&gt;"",UPPER(Pronostici!$H53),IF(OR(Pronostici!$I53="",Pronostici!$J53=""),"",IF(Pronostici!$I53&gt;Pronostici!$J53,"1",IF(Pronostici!$I53=Pronostici!$J53,"X","2"))))</f>
        <v/>
      </c>
      <c r="L53" s="63">
        <f>IF(Pronostici!$K53&lt;&gt;"",UPPER(Pronostici!$K53),IF(OR(Pronostici!$L53="",Pronostici!$M53=""),"",IF(Pronostici!$L53&gt;Pronostici!$M53,"1",IF(Pronostici!$L53=Pronostici!$M53,"X","2"))))</f>
        <v/>
      </c>
      <c r="M53" s="63">
        <f>IF(Pronostici!$N53&lt;&gt;"",UPPER(Pronostici!$N53),IF(OR(Pronostici!$O53="",Pronostici!$P53=""),"",IF(Pronostici!$O53&gt;Pronostici!$P53,"1",IF(Pronostici!$O53=Pronostici!$P53,"X","2"))))</f>
        <v/>
      </c>
      <c r="N53" s="63">
        <f>IF(Pronostici!$Q53&lt;&gt;"",UPPER(Pronostici!$Q53),IF(OR(Pronostici!$R53="",Pronostici!$S53=""),"",IF(Pronostici!$R53&gt;Pronostici!$S53,"1",IF(Pronostici!$R53=Pronostici!$S53,"X","2"))))</f>
        <v/>
      </c>
    </row>
    <row r="54">
      <c r="A54" s="74">
        <f>Partite!$A54</f>
        <v/>
      </c>
      <c r="B54" s="30">
        <f>Partite!$B54</f>
        <v/>
      </c>
      <c r="C54" s="47">
        <f>IF(Partite!$E54="","",Partite!$E54&amp;"  -  "&amp;Partite!$F54)</f>
        <v/>
      </c>
      <c r="D54" s="27">
        <f>IF(Partite!$K54&lt;&gt;"Giocata","",IF(AND(Pronostici!$F54&lt;&gt;"",Pronostici!$G54&lt;&gt;"",Pronostici!$F54=Partite!$G54,Pronostici!$G54=Partite!$H54),Config!$D$6,IF(AND($J54&lt;&gt;"",$J54=Partite!$I54),Config!$D$7,Config!$D$8)))</f>
        <v/>
      </c>
      <c r="E54" s="27">
        <f>IF(Partite!$K54&lt;&gt;"Giocata","",IF(AND(Pronostici!$I54&lt;&gt;"",Pronostici!$J54&lt;&gt;"",Pronostici!$I54=Partite!$G54,Pronostici!$J54=Partite!$H54),Config!$D$6,IF(AND($K54&lt;&gt;"",$K54=Partite!$I54),Config!$D$7,Config!$D$8)))</f>
        <v/>
      </c>
      <c r="F54" s="27">
        <f>IF(Partite!$K54&lt;&gt;"Giocata","",IF(AND(Pronostici!$L54&lt;&gt;"",Pronostici!$M54&lt;&gt;"",Pronostici!$L54=Partite!$G54,Pronostici!$M54=Partite!$H54),Config!$D$6,IF(AND($L54&lt;&gt;"",$L54=Partite!$I54),Config!$D$7,Config!$D$8)))</f>
        <v/>
      </c>
      <c r="G54" s="27">
        <f>IF(Partite!$K54&lt;&gt;"Giocata","",IF(AND(Pronostici!$O54&lt;&gt;"",Pronostici!$P54&lt;&gt;"",Pronostici!$O54=Partite!$G54,Pronostici!$P54=Partite!$H54),Config!$D$6,IF(AND($M54&lt;&gt;"",$M54=Partite!$I54),Config!$D$7,Config!$D$8)))</f>
        <v/>
      </c>
      <c r="H54" s="27">
        <f>IF(Partite!$K54&lt;&gt;"Giocata","",IF(AND(Pronostici!$R54&lt;&gt;"",Pronostici!$S54&lt;&gt;"",Pronostici!$R54=Partite!$G54,Pronostici!$S54=Partite!$H54),Config!$D$6,IF(AND($N54&lt;&gt;"",$N54=Partite!$I54),Config!$D$7,Config!$D$8)))</f>
        <v/>
      </c>
      <c r="J54" s="63">
        <f>IF(Pronostici!$E54&lt;&gt;"",UPPER(Pronostici!$E54),IF(OR(Pronostici!$F54="",Pronostici!$G54=""),"",IF(Pronostici!$F54&gt;Pronostici!$G54,"1",IF(Pronostici!$F54=Pronostici!$G54,"X","2"))))</f>
        <v/>
      </c>
      <c r="K54" s="63">
        <f>IF(Pronostici!$H54&lt;&gt;"",UPPER(Pronostici!$H54),IF(OR(Pronostici!$I54="",Pronostici!$J54=""),"",IF(Pronostici!$I54&gt;Pronostici!$J54,"1",IF(Pronostici!$I54=Pronostici!$J54,"X","2"))))</f>
        <v/>
      </c>
      <c r="L54" s="63">
        <f>IF(Pronostici!$K54&lt;&gt;"",UPPER(Pronostici!$K54),IF(OR(Pronostici!$L54="",Pronostici!$M54=""),"",IF(Pronostici!$L54&gt;Pronostici!$M54,"1",IF(Pronostici!$L54=Pronostici!$M54,"X","2"))))</f>
        <v/>
      </c>
      <c r="M54" s="63">
        <f>IF(Pronostici!$N54&lt;&gt;"",UPPER(Pronostici!$N54),IF(OR(Pronostici!$O54="",Pronostici!$P54=""),"",IF(Pronostici!$O54&gt;Pronostici!$P54,"1",IF(Pronostici!$O54=Pronostici!$P54,"X","2"))))</f>
        <v/>
      </c>
      <c r="N54" s="63">
        <f>IF(Pronostici!$Q54&lt;&gt;"",UPPER(Pronostici!$Q54),IF(OR(Pronostici!$R54="",Pronostici!$S54=""),"",IF(Pronostici!$R54&gt;Pronostici!$S54,"1",IF(Pronostici!$R54=Pronostici!$S54,"X","2"))))</f>
        <v/>
      </c>
    </row>
    <row r="55">
      <c r="A55" s="74">
        <f>Partite!$A55</f>
        <v/>
      </c>
      <c r="B55" s="30">
        <f>Partite!$B55</f>
        <v/>
      </c>
      <c r="C55" s="47">
        <f>IF(Partite!$E55="","",Partite!$E55&amp;"  -  "&amp;Partite!$F55)</f>
        <v/>
      </c>
      <c r="D55" s="27">
        <f>IF(Partite!$K55&lt;&gt;"Giocata","",IF(AND(Pronostici!$F55&lt;&gt;"",Pronostici!$G55&lt;&gt;"",Pronostici!$F55=Partite!$G55,Pronostici!$G55=Partite!$H55),Config!$D$6,IF(AND($J55&lt;&gt;"",$J55=Partite!$I55),Config!$D$7,Config!$D$8)))</f>
        <v/>
      </c>
      <c r="E55" s="27">
        <f>IF(Partite!$K55&lt;&gt;"Giocata","",IF(AND(Pronostici!$I55&lt;&gt;"",Pronostici!$J55&lt;&gt;"",Pronostici!$I55=Partite!$G55,Pronostici!$J55=Partite!$H55),Config!$D$6,IF(AND($K55&lt;&gt;"",$K55=Partite!$I55),Config!$D$7,Config!$D$8)))</f>
        <v/>
      </c>
      <c r="F55" s="27">
        <f>IF(Partite!$K55&lt;&gt;"Giocata","",IF(AND(Pronostici!$L55&lt;&gt;"",Pronostici!$M55&lt;&gt;"",Pronostici!$L55=Partite!$G55,Pronostici!$M55=Partite!$H55),Config!$D$6,IF(AND($L55&lt;&gt;"",$L55=Partite!$I55),Config!$D$7,Config!$D$8)))</f>
        <v/>
      </c>
      <c r="G55" s="27">
        <f>IF(Partite!$K55&lt;&gt;"Giocata","",IF(AND(Pronostici!$O55&lt;&gt;"",Pronostici!$P55&lt;&gt;"",Pronostici!$O55=Partite!$G55,Pronostici!$P55=Partite!$H55),Config!$D$6,IF(AND($M55&lt;&gt;"",$M55=Partite!$I55),Config!$D$7,Config!$D$8)))</f>
        <v/>
      </c>
      <c r="H55" s="27">
        <f>IF(Partite!$K55&lt;&gt;"Giocata","",IF(AND(Pronostici!$R55&lt;&gt;"",Pronostici!$S55&lt;&gt;"",Pronostici!$R55=Partite!$G55,Pronostici!$S55=Partite!$H55),Config!$D$6,IF(AND($N55&lt;&gt;"",$N55=Partite!$I55),Config!$D$7,Config!$D$8)))</f>
        <v/>
      </c>
      <c r="J55" s="63">
        <f>IF(Pronostici!$E55&lt;&gt;"",UPPER(Pronostici!$E55),IF(OR(Pronostici!$F55="",Pronostici!$G55=""),"",IF(Pronostici!$F55&gt;Pronostici!$G55,"1",IF(Pronostici!$F55=Pronostici!$G55,"X","2"))))</f>
        <v/>
      </c>
      <c r="K55" s="63">
        <f>IF(Pronostici!$H55&lt;&gt;"",UPPER(Pronostici!$H55),IF(OR(Pronostici!$I55="",Pronostici!$J55=""),"",IF(Pronostici!$I55&gt;Pronostici!$J55,"1",IF(Pronostici!$I55=Pronostici!$J55,"X","2"))))</f>
        <v/>
      </c>
      <c r="L55" s="63">
        <f>IF(Pronostici!$K55&lt;&gt;"",UPPER(Pronostici!$K55),IF(OR(Pronostici!$L55="",Pronostici!$M55=""),"",IF(Pronostici!$L55&gt;Pronostici!$M55,"1",IF(Pronostici!$L55=Pronostici!$M55,"X","2"))))</f>
        <v/>
      </c>
      <c r="M55" s="63">
        <f>IF(Pronostici!$N55&lt;&gt;"",UPPER(Pronostici!$N55),IF(OR(Pronostici!$O55="",Pronostici!$P55=""),"",IF(Pronostici!$O55&gt;Pronostici!$P55,"1",IF(Pronostici!$O55=Pronostici!$P55,"X","2"))))</f>
        <v/>
      </c>
      <c r="N55" s="63">
        <f>IF(Pronostici!$Q55&lt;&gt;"",UPPER(Pronostici!$Q55),IF(OR(Pronostici!$R55="",Pronostici!$S55=""),"",IF(Pronostici!$R55&gt;Pronostici!$S55,"1",IF(Pronostici!$R55=Pronostici!$S55,"X","2"))))</f>
        <v/>
      </c>
    </row>
    <row r="56">
      <c r="A56" s="74">
        <f>Partite!$A56</f>
        <v/>
      </c>
      <c r="B56" s="30">
        <f>Partite!$B56</f>
        <v/>
      </c>
      <c r="C56" s="47">
        <f>IF(Partite!$E56="","",Partite!$E56&amp;"  -  "&amp;Partite!$F56)</f>
        <v/>
      </c>
      <c r="D56" s="27">
        <f>IF(Partite!$K56&lt;&gt;"Giocata","",IF(AND(Pronostici!$F56&lt;&gt;"",Pronostici!$G56&lt;&gt;"",Pronostici!$F56=Partite!$G56,Pronostici!$G56=Partite!$H56),Config!$D$6,IF(AND($J56&lt;&gt;"",$J56=Partite!$I56),Config!$D$7,Config!$D$8)))</f>
        <v/>
      </c>
      <c r="E56" s="27">
        <f>IF(Partite!$K56&lt;&gt;"Giocata","",IF(AND(Pronostici!$I56&lt;&gt;"",Pronostici!$J56&lt;&gt;"",Pronostici!$I56=Partite!$G56,Pronostici!$J56=Partite!$H56),Config!$D$6,IF(AND($K56&lt;&gt;"",$K56=Partite!$I56),Config!$D$7,Config!$D$8)))</f>
        <v/>
      </c>
      <c r="F56" s="27">
        <f>IF(Partite!$K56&lt;&gt;"Giocata","",IF(AND(Pronostici!$L56&lt;&gt;"",Pronostici!$M56&lt;&gt;"",Pronostici!$L56=Partite!$G56,Pronostici!$M56=Partite!$H56),Config!$D$6,IF(AND($L56&lt;&gt;"",$L56=Partite!$I56),Config!$D$7,Config!$D$8)))</f>
        <v/>
      </c>
      <c r="G56" s="27">
        <f>IF(Partite!$K56&lt;&gt;"Giocata","",IF(AND(Pronostici!$O56&lt;&gt;"",Pronostici!$P56&lt;&gt;"",Pronostici!$O56=Partite!$G56,Pronostici!$P56=Partite!$H56),Config!$D$6,IF(AND($M56&lt;&gt;"",$M56=Partite!$I56),Config!$D$7,Config!$D$8)))</f>
        <v/>
      </c>
      <c r="H56" s="27">
        <f>IF(Partite!$K56&lt;&gt;"Giocata","",IF(AND(Pronostici!$R56&lt;&gt;"",Pronostici!$S56&lt;&gt;"",Pronostici!$R56=Partite!$G56,Pronostici!$S56=Partite!$H56),Config!$D$6,IF(AND($N56&lt;&gt;"",$N56=Partite!$I56),Config!$D$7,Config!$D$8)))</f>
        <v/>
      </c>
      <c r="J56" s="63">
        <f>IF(Pronostici!$E56&lt;&gt;"",UPPER(Pronostici!$E56),IF(OR(Pronostici!$F56="",Pronostici!$G56=""),"",IF(Pronostici!$F56&gt;Pronostici!$G56,"1",IF(Pronostici!$F56=Pronostici!$G56,"X","2"))))</f>
        <v/>
      </c>
      <c r="K56" s="63">
        <f>IF(Pronostici!$H56&lt;&gt;"",UPPER(Pronostici!$H56),IF(OR(Pronostici!$I56="",Pronostici!$J56=""),"",IF(Pronostici!$I56&gt;Pronostici!$J56,"1",IF(Pronostici!$I56=Pronostici!$J56,"X","2"))))</f>
        <v/>
      </c>
      <c r="L56" s="63">
        <f>IF(Pronostici!$K56&lt;&gt;"",UPPER(Pronostici!$K56),IF(OR(Pronostici!$L56="",Pronostici!$M56=""),"",IF(Pronostici!$L56&gt;Pronostici!$M56,"1",IF(Pronostici!$L56=Pronostici!$M56,"X","2"))))</f>
        <v/>
      </c>
      <c r="M56" s="63">
        <f>IF(Pronostici!$N56&lt;&gt;"",UPPER(Pronostici!$N56),IF(OR(Pronostici!$O56="",Pronostici!$P56=""),"",IF(Pronostici!$O56&gt;Pronostici!$P56,"1",IF(Pronostici!$O56=Pronostici!$P56,"X","2"))))</f>
        <v/>
      </c>
      <c r="N56" s="63">
        <f>IF(Pronostici!$Q56&lt;&gt;"",UPPER(Pronostici!$Q56),IF(OR(Pronostici!$R56="",Pronostici!$S56=""),"",IF(Pronostici!$R56&gt;Pronostici!$S56,"1",IF(Pronostici!$R56=Pronostici!$S56,"X","2"))))</f>
        <v/>
      </c>
    </row>
    <row r="57">
      <c r="A57" s="74">
        <f>Partite!$A57</f>
        <v/>
      </c>
      <c r="B57" s="30">
        <f>Partite!$B57</f>
        <v/>
      </c>
      <c r="C57" s="47">
        <f>IF(Partite!$E57="","",Partite!$E57&amp;"  -  "&amp;Partite!$F57)</f>
        <v/>
      </c>
      <c r="D57" s="27">
        <f>IF(Partite!$K57&lt;&gt;"Giocata","",IF(AND(Pronostici!$F57&lt;&gt;"",Pronostici!$G57&lt;&gt;"",Pronostici!$F57=Partite!$G57,Pronostici!$G57=Partite!$H57),Config!$D$6,IF(AND($J57&lt;&gt;"",$J57=Partite!$I57),Config!$D$7,Config!$D$8)))</f>
        <v/>
      </c>
      <c r="E57" s="27">
        <f>IF(Partite!$K57&lt;&gt;"Giocata","",IF(AND(Pronostici!$I57&lt;&gt;"",Pronostici!$J57&lt;&gt;"",Pronostici!$I57=Partite!$G57,Pronostici!$J57=Partite!$H57),Config!$D$6,IF(AND($K57&lt;&gt;"",$K57=Partite!$I57),Config!$D$7,Config!$D$8)))</f>
        <v/>
      </c>
      <c r="F57" s="27">
        <f>IF(Partite!$K57&lt;&gt;"Giocata","",IF(AND(Pronostici!$L57&lt;&gt;"",Pronostici!$M57&lt;&gt;"",Pronostici!$L57=Partite!$G57,Pronostici!$M57=Partite!$H57),Config!$D$6,IF(AND($L57&lt;&gt;"",$L57=Partite!$I57),Config!$D$7,Config!$D$8)))</f>
        <v/>
      </c>
      <c r="G57" s="27">
        <f>IF(Partite!$K57&lt;&gt;"Giocata","",IF(AND(Pronostici!$O57&lt;&gt;"",Pronostici!$P57&lt;&gt;"",Pronostici!$O57=Partite!$G57,Pronostici!$P57=Partite!$H57),Config!$D$6,IF(AND($M57&lt;&gt;"",$M57=Partite!$I57),Config!$D$7,Config!$D$8)))</f>
        <v/>
      </c>
      <c r="H57" s="27">
        <f>IF(Partite!$K57&lt;&gt;"Giocata","",IF(AND(Pronostici!$R57&lt;&gt;"",Pronostici!$S57&lt;&gt;"",Pronostici!$R57=Partite!$G57,Pronostici!$S57=Partite!$H57),Config!$D$6,IF(AND($N57&lt;&gt;"",$N57=Partite!$I57),Config!$D$7,Config!$D$8)))</f>
        <v/>
      </c>
      <c r="J57" s="63">
        <f>IF(Pronostici!$E57&lt;&gt;"",UPPER(Pronostici!$E57),IF(OR(Pronostici!$F57="",Pronostici!$G57=""),"",IF(Pronostici!$F57&gt;Pronostici!$G57,"1",IF(Pronostici!$F57=Pronostici!$G57,"X","2"))))</f>
        <v/>
      </c>
      <c r="K57" s="63">
        <f>IF(Pronostici!$H57&lt;&gt;"",UPPER(Pronostici!$H57),IF(OR(Pronostici!$I57="",Pronostici!$J57=""),"",IF(Pronostici!$I57&gt;Pronostici!$J57,"1",IF(Pronostici!$I57=Pronostici!$J57,"X","2"))))</f>
        <v/>
      </c>
      <c r="L57" s="63">
        <f>IF(Pronostici!$K57&lt;&gt;"",UPPER(Pronostici!$K57),IF(OR(Pronostici!$L57="",Pronostici!$M57=""),"",IF(Pronostici!$L57&gt;Pronostici!$M57,"1",IF(Pronostici!$L57=Pronostici!$M57,"X","2"))))</f>
        <v/>
      </c>
      <c r="M57" s="63">
        <f>IF(Pronostici!$N57&lt;&gt;"",UPPER(Pronostici!$N57),IF(OR(Pronostici!$O57="",Pronostici!$P57=""),"",IF(Pronostici!$O57&gt;Pronostici!$P57,"1",IF(Pronostici!$O57=Pronostici!$P57,"X","2"))))</f>
        <v/>
      </c>
      <c r="N57" s="63">
        <f>IF(Pronostici!$Q57&lt;&gt;"",UPPER(Pronostici!$Q57),IF(OR(Pronostici!$R57="",Pronostici!$S57=""),"",IF(Pronostici!$R57&gt;Pronostici!$S57,"1",IF(Pronostici!$R57=Pronostici!$S57,"X","2"))))</f>
        <v/>
      </c>
    </row>
    <row r="58">
      <c r="A58" s="74">
        <f>Partite!$A58</f>
        <v/>
      </c>
      <c r="B58" s="30">
        <f>Partite!$B58</f>
        <v/>
      </c>
      <c r="C58" s="47">
        <f>IF(Partite!$E58="","",Partite!$E58&amp;"  -  "&amp;Partite!$F58)</f>
        <v/>
      </c>
      <c r="D58" s="27">
        <f>IF(Partite!$K58&lt;&gt;"Giocata","",IF(AND(Pronostici!$F58&lt;&gt;"",Pronostici!$G58&lt;&gt;"",Pronostici!$F58=Partite!$G58,Pronostici!$G58=Partite!$H58),Config!$D$6,IF(AND($J58&lt;&gt;"",$J58=Partite!$I58),Config!$D$7,Config!$D$8)))</f>
        <v/>
      </c>
      <c r="E58" s="27">
        <f>IF(Partite!$K58&lt;&gt;"Giocata","",IF(AND(Pronostici!$I58&lt;&gt;"",Pronostici!$J58&lt;&gt;"",Pronostici!$I58=Partite!$G58,Pronostici!$J58=Partite!$H58),Config!$D$6,IF(AND($K58&lt;&gt;"",$K58=Partite!$I58),Config!$D$7,Config!$D$8)))</f>
        <v/>
      </c>
      <c r="F58" s="27">
        <f>IF(Partite!$K58&lt;&gt;"Giocata","",IF(AND(Pronostici!$L58&lt;&gt;"",Pronostici!$M58&lt;&gt;"",Pronostici!$L58=Partite!$G58,Pronostici!$M58=Partite!$H58),Config!$D$6,IF(AND($L58&lt;&gt;"",$L58=Partite!$I58),Config!$D$7,Config!$D$8)))</f>
        <v/>
      </c>
      <c r="G58" s="27">
        <f>IF(Partite!$K58&lt;&gt;"Giocata","",IF(AND(Pronostici!$O58&lt;&gt;"",Pronostici!$P58&lt;&gt;"",Pronostici!$O58=Partite!$G58,Pronostici!$P58=Partite!$H58),Config!$D$6,IF(AND($M58&lt;&gt;"",$M58=Partite!$I58),Config!$D$7,Config!$D$8)))</f>
        <v/>
      </c>
      <c r="H58" s="27">
        <f>IF(Partite!$K58&lt;&gt;"Giocata","",IF(AND(Pronostici!$R58&lt;&gt;"",Pronostici!$S58&lt;&gt;"",Pronostici!$R58=Partite!$G58,Pronostici!$S58=Partite!$H58),Config!$D$6,IF(AND($N58&lt;&gt;"",$N58=Partite!$I58),Config!$D$7,Config!$D$8)))</f>
        <v/>
      </c>
      <c r="J58" s="63">
        <f>IF(Pronostici!$E58&lt;&gt;"",UPPER(Pronostici!$E58),IF(OR(Pronostici!$F58="",Pronostici!$G58=""),"",IF(Pronostici!$F58&gt;Pronostici!$G58,"1",IF(Pronostici!$F58=Pronostici!$G58,"X","2"))))</f>
        <v/>
      </c>
      <c r="K58" s="63">
        <f>IF(Pronostici!$H58&lt;&gt;"",UPPER(Pronostici!$H58),IF(OR(Pronostici!$I58="",Pronostici!$J58=""),"",IF(Pronostici!$I58&gt;Pronostici!$J58,"1",IF(Pronostici!$I58=Pronostici!$J58,"X","2"))))</f>
        <v/>
      </c>
      <c r="L58" s="63">
        <f>IF(Pronostici!$K58&lt;&gt;"",UPPER(Pronostici!$K58),IF(OR(Pronostici!$L58="",Pronostici!$M58=""),"",IF(Pronostici!$L58&gt;Pronostici!$M58,"1",IF(Pronostici!$L58=Pronostici!$M58,"X","2"))))</f>
        <v/>
      </c>
      <c r="M58" s="63">
        <f>IF(Pronostici!$N58&lt;&gt;"",UPPER(Pronostici!$N58),IF(OR(Pronostici!$O58="",Pronostici!$P58=""),"",IF(Pronostici!$O58&gt;Pronostici!$P58,"1",IF(Pronostici!$O58=Pronostici!$P58,"X","2"))))</f>
        <v/>
      </c>
      <c r="N58" s="63">
        <f>IF(Pronostici!$Q58&lt;&gt;"",UPPER(Pronostici!$Q58),IF(OR(Pronostici!$R58="",Pronostici!$S58=""),"",IF(Pronostici!$R58&gt;Pronostici!$S58,"1",IF(Pronostici!$R58=Pronostici!$S58,"X","2"))))</f>
        <v/>
      </c>
    </row>
    <row r="59">
      <c r="A59" s="74">
        <f>Partite!$A59</f>
        <v/>
      </c>
      <c r="B59" s="30">
        <f>Partite!$B59</f>
        <v/>
      </c>
      <c r="C59" s="47">
        <f>IF(Partite!$E59="","",Partite!$E59&amp;"  -  "&amp;Partite!$F59)</f>
        <v/>
      </c>
      <c r="D59" s="27">
        <f>IF(Partite!$K59&lt;&gt;"Giocata","",IF(AND(Pronostici!$F59&lt;&gt;"",Pronostici!$G59&lt;&gt;"",Pronostici!$F59=Partite!$G59,Pronostici!$G59=Partite!$H59),Config!$D$6,IF(AND($J59&lt;&gt;"",$J59=Partite!$I59),Config!$D$7,Config!$D$8)))</f>
        <v/>
      </c>
      <c r="E59" s="27">
        <f>IF(Partite!$K59&lt;&gt;"Giocata","",IF(AND(Pronostici!$I59&lt;&gt;"",Pronostici!$J59&lt;&gt;"",Pronostici!$I59=Partite!$G59,Pronostici!$J59=Partite!$H59),Config!$D$6,IF(AND($K59&lt;&gt;"",$K59=Partite!$I59),Config!$D$7,Config!$D$8)))</f>
        <v/>
      </c>
      <c r="F59" s="27">
        <f>IF(Partite!$K59&lt;&gt;"Giocata","",IF(AND(Pronostici!$L59&lt;&gt;"",Pronostici!$M59&lt;&gt;"",Pronostici!$L59=Partite!$G59,Pronostici!$M59=Partite!$H59),Config!$D$6,IF(AND($L59&lt;&gt;"",$L59=Partite!$I59),Config!$D$7,Config!$D$8)))</f>
        <v/>
      </c>
      <c r="G59" s="27">
        <f>IF(Partite!$K59&lt;&gt;"Giocata","",IF(AND(Pronostici!$O59&lt;&gt;"",Pronostici!$P59&lt;&gt;"",Pronostici!$O59=Partite!$G59,Pronostici!$P59=Partite!$H59),Config!$D$6,IF(AND($M59&lt;&gt;"",$M59=Partite!$I59),Config!$D$7,Config!$D$8)))</f>
        <v/>
      </c>
      <c r="H59" s="27">
        <f>IF(Partite!$K59&lt;&gt;"Giocata","",IF(AND(Pronostici!$R59&lt;&gt;"",Pronostici!$S59&lt;&gt;"",Pronostici!$R59=Partite!$G59,Pronostici!$S59=Partite!$H59),Config!$D$6,IF(AND($N59&lt;&gt;"",$N59=Partite!$I59),Config!$D$7,Config!$D$8)))</f>
        <v/>
      </c>
      <c r="J59" s="63">
        <f>IF(Pronostici!$E59&lt;&gt;"",UPPER(Pronostici!$E59),IF(OR(Pronostici!$F59="",Pronostici!$G59=""),"",IF(Pronostici!$F59&gt;Pronostici!$G59,"1",IF(Pronostici!$F59=Pronostici!$G59,"X","2"))))</f>
        <v/>
      </c>
      <c r="K59" s="63">
        <f>IF(Pronostici!$H59&lt;&gt;"",UPPER(Pronostici!$H59),IF(OR(Pronostici!$I59="",Pronostici!$J59=""),"",IF(Pronostici!$I59&gt;Pronostici!$J59,"1",IF(Pronostici!$I59=Pronostici!$J59,"X","2"))))</f>
        <v/>
      </c>
      <c r="L59" s="63">
        <f>IF(Pronostici!$K59&lt;&gt;"",UPPER(Pronostici!$K59),IF(OR(Pronostici!$L59="",Pronostici!$M59=""),"",IF(Pronostici!$L59&gt;Pronostici!$M59,"1",IF(Pronostici!$L59=Pronostici!$M59,"X","2"))))</f>
        <v/>
      </c>
      <c r="M59" s="63">
        <f>IF(Pronostici!$N59&lt;&gt;"",UPPER(Pronostici!$N59),IF(OR(Pronostici!$O59="",Pronostici!$P59=""),"",IF(Pronostici!$O59&gt;Pronostici!$P59,"1",IF(Pronostici!$O59=Pronostici!$P59,"X","2"))))</f>
        <v/>
      </c>
      <c r="N59" s="63">
        <f>IF(Pronostici!$Q59&lt;&gt;"",UPPER(Pronostici!$Q59),IF(OR(Pronostici!$R59="",Pronostici!$S59=""),"",IF(Pronostici!$R59&gt;Pronostici!$S59,"1",IF(Pronostici!$R59=Pronostici!$S59,"X","2"))))</f>
        <v/>
      </c>
    </row>
    <row r="60">
      <c r="A60" s="74">
        <f>Partite!$A60</f>
        <v/>
      </c>
      <c r="B60" s="30">
        <f>Partite!$B60</f>
        <v/>
      </c>
      <c r="C60" s="47">
        <f>IF(Partite!$E60="","",Partite!$E60&amp;"  -  "&amp;Partite!$F60)</f>
        <v/>
      </c>
      <c r="D60" s="27">
        <f>IF(Partite!$K60&lt;&gt;"Giocata","",IF(AND(Pronostici!$F60&lt;&gt;"",Pronostici!$G60&lt;&gt;"",Pronostici!$F60=Partite!$G60,Pronostici!$G60=Partite!$H60),Config!$D$6,IF(AND($J60&lt;&gt;"",$J60=Partite!$I60),Config!$D$7,Config!$D$8)))</f>
        <v/>
      </c>
      <c r="E60" s="27">
        <f>IF(Partite!$K60&lt;&gt;"Giocata","",IF(AND(Pronostici!$I60&lt;&gt;"",Pronostici!$J60&lt;&gt;"",Pronostici!$I60=Partite!$G60,Pronostici!$J60=Partite!$H60),Config!$D$6,IF(AND($K60&lt;&gt;"",$K60=Partite!$I60),Config!$D$7,Config!$D$8)))</f>
        <v/>
      </c>
      <c r="F60" s="27">
        <f>IF(Partite!$K60&lt;&gt;"Giocata","",IF(AND(Pronostici!$L60&lt;&gt;"",Pronostici!$M60&lt;&gt;"",Pronostici!$L60=Partite!$G60,Pronostici!$M60=Partite!$H60),Config!$D$6,IF(AND($L60&lt;&gt;"",$L60=Partite!$I60),Config!$D$7,Config!$D$8)))</f>
        <v/>
      </c>
      <c r="G60" s="27">
        <f>IF(Partite!$K60&lt;&gt;"Giocata","",IF(AND(Pronostici!$O60&lt;&gt;"",Pronostici!$P60&lt;&gt;"",Pronostici!$O60=Partite!$G60,Pronostici!$P60=Partite!$H60),Config!$D$6,IF(AND($M60&lt;&gt;"",$M60=Partite!$I60),Config!$D$7,Config!$D$8)))</f>
        <v/>
      </c>
      <c r="H60" s="27">
        <f>IF(Partite!$K60&lt;&gt;"Giocata","",IF(AND(Pronostici!$R60&lt;&gt;"",Pronostici!$S60&lt;&gt;"",Pronostici!$R60=Partite!$G60,Pronostici!$S60=Partite!$H60),Config!$D$6,IF(AND($N60&lt;&gt;"",$N60=Partite!$I60),Config!$D$7,Config!$D$8)))</f>
        <v/>
      </c>
      <c r="J60" s="63">
        <f>IF(Pronostici!$E60&lt;&gt;"",UPPER(Pronostici!$E60),IF(OR(Pronostici!$F60="",Pronostici!$G60=""),"",IF(Pronostici!$F60&gt;Pronostici!$G60,"1",IF(Pronostici!$F60=Pronostici!$G60,"X","2"))))</f>
        <v/>
      </c>
      <c r="K60" s="63">
        <f>IF(Pronostici!$H60&lt;&gt;"",UPPER(Pronostici!$H60),IF(OR(Pronostici!$I60="",Pronostici!$J60=""),"",IF(Pronostici!$I60&gt;Pronostici!$J60,"1",IF(Pronostici!$I60=Pronostici!$J60,"X","2"))))</f>
        <v/>
      </c>
      <c r="L60" s="63">
        <f>IF(Pronostici!$K60&lt;&gt;"",UPPER(Pronostici!$K60),IF(OR(Pronostici!$L60="",Pronostici!$M60=""),"",IF(Pronostici!$L60&gt;Pronostici!$M60,"1",IF(Pronostici!$L60=Pronostici!$M60,"X","2"))))</f>
        <v/>
      </c>
      <c r="M60" s="63">
        <f>IF(Pronostici!$N60&lt;&gt;"",UPPER(Pronostici!$N60),IF(OR(Pronostici!$O60="",Pronostici!$P60=""),"",IF(Pronostici!$O60&gt;Pronostici!$P60,"1",IF(Pronostici!$O60=Pronostici!$P60,"X","2"))))</f>
        <v/>
      </c>
      <c r="N60" s="63">
        <f>IF(Pronostici!$Q60&lt;&gt;"",UPPER(Pronostici!$Q60),IF(OR(Pronostici!$R60="",Pronostici!$S60=""),"",IF(Pronostici!$R60&gt;Pronostici!$S60,"1",IF(Pronostici!$R60=Pronostici!$S60,"X","2"))))</f>
        <v/>
      </c>
    </row>
    <row r="61">
      <c r="A61" s="74">
        <f>Partite!$A61</f>
        <v/>
      </c>
      <c r="B61" s="30">
        <f>Partite!$B61</f>
        <v/>
      </c>
      <c r="C61" s="47">
        <f>IF(Partite!$E61="","",Partite!$E61&amp;"  -  "&amp;Partite!$F61)</f>
        <v/>
      </c>
      <c r="D61" s="27">
        <f>IF(Partite!$K61&lt;&gt;"Giocata","",IF(AND(Pronostici!$F61&lt;&gt;"",Pronostici!$G61&lt;&gt;"",Pronostici!$F61=Partite!$G61,Pronostici!$G61=Partite!$H61),Config!$D$6,IF(AND($J61&lt;&gt;"",$J61=Partite!$I61),Config!$D$7,Config!$D$8)))</f>
        <v/>
      </c>
      <c r="E61" s="27">
        <f>IF(Partite!$K61&lt;&gt;"Giocata","",IF(AND(Pronostici!$I61&lt;&gt;"",Pronostici!$J61&lt;&gt;"",Pronostici!$I61=Partite!$G61,Pronostici!$J61=Partite!$H61),Config!$D$6,IF(AND($K61&lt;&gt;"",$K61=Partite!$I61),Config!$D$7,Config!$D$8)))</f>
        <v/>
      </c>
      <c r="F61" s="27">
        <f>IF(Partite!$K61&lt;&gt;"Giocata","",IF(AND(Pronostici!$L61&lt;&gt;"",Pronostici!$M61&lt;&gt;"",Pronostici!$L61=Partite!$G61,Pronostici!$M61=Partite!$H61),Config!$D$6,IF(AND($L61&lt;&gt;"",$L61=Partite!$I61),Config!$D$7,Config!$D$8)))</f>
        <v/>
      </c>
      <c r="G61" s="27">
        <f>IF(Partite!$K61&lt;&gt;"Giocata","",IF(AND(Pronostici!$O61&lt;&gt;"",Pronostici!$P61&lt;&gt;"",Pronostici!$O61=Partite!$G61,Pronostici!$P61=Partite!$H61),Config!$D$6,IF(AND($M61&lt;&gt;"",$M61=Partite!$I61),Config!$D$7,Config!$D$8)))</f>
        <v/>
      </c>
      <c r="H61" s="27">
        <f>IF(Partite!$K61&lt;&gt;"Giocata","",IF(AND(Pronostici!$R61&lt;&gt;"",Pronostici!$S61&lt;&gt;"",Pronostici!$R61=Partite!$G61,Pronostici!$S61=Partite!$H61),Config!$D$6,IF(AND($N61&lt;&gt;"",$N61=Partite!$I61),Config!$D$7,Config!$D$8)))</f>
        <v/>
      </c>
      <c r="J61" s="63">
        <f>IF(Pronostici!$E61&lt;&gt;"",UPPER(Pronostici!$E61),IF(OR(Pronostici!$F61="",Pronostici!$G61=""),"",IF(Pronostici!$F61&gt;Pronostici!$G61,"1",IF(Pronostici!$F61=Pronostici!$G61,"X","2"))))</f>
        <v/>
      </c>
      <c r="K61" s="63">
        <f>IF(Pronostici!$H61&lt;&gt;"",UPPER(Pronostici!$H61),IF(OR(Pronostici!$I61="",Pronostici!$J61=""),"",IF(Pronostici!$I61&gt;Pronostici!$J61,"1",IF(Pronostici!$I61=Pronostici!$J61,"X","2"))))</f>
        <v/>
      </c>
      <c r="L61" s="63">
        <f>IF(Pronostici!$K61&lt;&gt;"",UPPER(Pronostici!$K61),IF(OR(Pronostici!$L61="",Pronostici!$M61=""),"",IF(Pronostici!$L61&gt;Pronostici!$M61,"1",IF(Pronostici!$L61=Pronostici!$M61,"X","2"))))</f>
        <v/>
      </c>
      <c r="M61" s="63">
        <f>IF(Pronostici!$N61&lt;&gt;"",UPPER(Pronostici!$N61),IF(OR(Pronostici!$O61="",Pronostici!$P61=""),"",IF(Pronostici!$O61&gt;Pronostici!$P61,"1",IF(Pronostici!$O61=Pronostici!$P61,"X","2"))))</f>
        <v/>
      </c>
      <c r="N61" s="63">
        <f>IF(Pronostici!$Q61&lt;&gt;"",UPPER(Pronostici!$Q61),IF(OR(Pronostici!$R61="",Pronostici!$S61=""),"",IF(Pronostici!$R61&gt;Pronostici!$S61,"1",IF(Pronostici!$R61=Pronostici!$S61,"X","2"))))</f>
        <v/>
      </c>
    </row>
    <row r="62">
      <c r="A62" s="74">
        <f>Partite!$A62</f>
        <v/>
      </c>
      <c r="B62" s="30">
        <f>Partite!$B62</f>
        <v/>
      </c>
      <c r="C62" s="47">
        <f>IF(Partite!$E62="","",Partite!$E62&amp;"  -  "&amp;Partite!$F62)</f>
        <v/>
      </c>
      <c r="D62" s="27">
        <f>IF(Partite!$K62&lt;&gt;"Giocata","",IF(AND(Pronostici!$F62&lt;&gt;"",Pronostici!$G62&lt;&gt;"",Pronostici!$F62=Partite!$G62,Pronostici!$G62=Partite!$H62),Config!$D$6,IF(AND($J62&lt;&gt;"",$J62=Partite!$I62),Config!$D$7,Config!$D$8)))</f>
        <v/>
      </c>
      <c r="E62" s="27">
        <f>IF(Partite!$K62&lt;&gt;"Giocata","",IF(AND(Pronostici!$I62&lt;&gt;"",Pronostici!$J62&lt;&gt;"",Pronostici!$I62=Partite!$G62,Pronostici!$J62=Partite!$H62),Config!$D$6,IF(AND($K62&lt;&gt;"",$K62=Partite!$I62),Config!$D$7,Config!$D$8)))</f>
        <v/>
      </c>
      <c r="F62" s="27">
        <f>IF(Partite!$K62&lt;&gt;"Giocata","",IF(AND(Pronostici!$L62&lt;&gt;"",Pronostici!$M62&lt;&gt;"",Pronostici!$L62=Partite!$G62,Pronostici!$M62=Partite!$H62),Config!$D$6,IF(AND($L62&lt;&gt;"",$L62=Partite!$I62),Config!$D$7,Config!$D$8)))</f>
        <v/>
      </c>
      <c r="G62" s="27">
        <f>IF(Partite!$K62&lt;&gt;"Giocata","",IF(AND(Pronostici!$O62&lt;&gt;"",Pronostici!$P62&lt;&gt;"",Pronostici!$O62=Partite!$G62,Pronostici!$P62=Partite!$H62),Config!$D$6,IF(AND($M62&lt;&gt;"",$M62=Partite!$I62),Config!$D$7,Config!$D$8)))</f>
        <v/>
      </c>
      <c r="H62" s="27">
        <f>IF(Partite!$K62&lt;&gt;"Giocata","",IF(AND(Pronostici!$R62&lt;&gt;"",Pronostici!$S62&lt;&gt;"",Pronostici!$R62=Partite!$G62,Pronostici!$S62=Partite!$H62),Config!$D$6,IF(AND($N62&lt;&gt;"",$N62=Partite!$I62),Config!$D$7,Config!$D$8)))</f>
        <v/>
      </c>
      <c r="J62" s="63">
        <f>IF(Pronostici!$E62&lt;&gt;"",UPPER(Pronostici!$E62),IF(OR(Pronostici!$F62="",Pronostici!$G62=""),"",IF(Pronostici!$F62&gt;Pronostici!$G62,"1",IF(Pronostici!$F62=Pronostici!$G62,"X","2"))))</f>
        <v/>
      </c>
      <c r="K62" s="63">
        <f>IF(Pronostici!$H62&lt;&gt;"",UPPER(Pronostici!$H62),IF(OR(Pronostici!$I62="",Pronostici!$J62=""),"",IF(Pronostici!$I62&gt;Pronostici!$J62,"1",IF(Pronostici!$I62=Pronostici!$J62,"X","2"))))</f>
        <v/>
      </c>
      <c r="L62" s="63">
        <f>IF(Pronostici!$K62&lt;&gt;"",UPPER(Pronostici!$K62),IF(OR(Pronostici!$L62="",Pronostici!$M62=""),"",IF(Pronostici!$L62&gt;Pronostici!$M62,"1",IF(Pronostici!$L62=Pronostici!$M62,"X","2"))))</f>
        <v/>
      </c>
      <c r="M62" s="63">
        <f>IF(Pronostici!$N62&lt;&gt;"",UPPER(Pronostici!$N62),IF(OR(Pronostici!$O62="",Pronostici!$P62=""),"",IF(Pronostici!$O62&gt;Pronostici!$P62,"1",IF(Pronostici!$O62=Pronostici!$P62,"X","2"))))</f>
        <v/>
      </c>
      <c r="N62" s="63">
        <f>IF(Pronostici!$Q62&lt;&gt;"",UPPER(Pronostici!$Q62),IF(OR(Pronostici!$R62="",Pronostici!$S62=""),"",IF(Pronostici!$R62&gt;Pronostici!$S62,"1",IF(Pronostici!$R62=Pronostici!$S62,"X","2"))))</f>
        <v/>
      </c>
    </row>
    <row r="63">
      <c r="A63" s="69">
        <f>Partite!$A63</f>
        <v/>
      </c>
      <c r="B63" s="25">
        <f>Partite!$B63</f>
        <v/>
      </c>
      <c r="C63" s="43">
        <f>IF(Partite!$E63="","",Partite!$E63&amp;"  -  "&amp;Partite!$F63)</f>
        <v/>
      </c>
      <c r="D63" s="22">
        <f>IF(Partite!$K63&lt;&gt;"Giocata","",IF(AND(Pronostici!$F63&lt;&gt;"",Pronostici!$G63&lt;&gt;"",Pronostici!$F63=Partite!$G63,Pronostici!$G63=Partite!$H63),Config!$D$6,IF(AND($J63&lt;&gt;"",$J63=Partite!$I63),Config!$D$7,Config!$D$8)))</f>
        <v/>
      </c>
      <c r="E63" s="22">
        <f>IF(Partite!$K63&lt;&gt;"Giocata","",IF(AND(Pronostici!$I63&lt;&gt;"",Pronostici!$J63&lt;&gt;"",Pronostici!$I63=Partite!$G63,Pronostici!$J63=Partite!$H63),Config!$D$6,IF(AND($K63&lt;&gt;"",$K63=Partite!$I63),Config!$D$7,Config!$D$8)))</f>
        <v/>
      </c>
      <c r="F63" s="22">
        <f>IF(Partite!$K63&lt;&gt;"Giocata","",IF(AND(Pronostici!$L63&lt;&gt;"",Pronostici!$M63&lt;&gt;"",Pronostici!$L63=Partite!$G63,Pronostici!$M63=Partite!$H63),Config!$D$6,IF(AND($L63&lt;&gt;"",$L63=Partite!$I63),Config!$D$7,Config!$D$8)))</f>
        <v/>
      </c>
      <c r="G63" s="22">
        <f>IF(Partite!$K63&lt;&gt;"Giocata","",IF(AND(Pronostici!$O63&lt;&gt;"",Pronostici!$P63&lt;&gt;"",Pronostici!$O63=Partite!$G63,Pronostici!$P63=Partite!$H63),Config!$D$6,IF(AND($M63&lt;&gt;"",$M63=Partite!$I63),Config!$D$7,Config!$D$8)))</f>
        <v/>
      </c>
      <c r="H63" s="22">
        <f>IF(Partite!$K63&lt;&gt;"Giocata","",IF(AND(Pronostici!$R63&lt;&gt;"",Pronostici!$S63&lt;&gt;"",Pronostici!$R63=Partite!$G63,Pronostici!$S63=Partite!$H63),Config!$D$6,IF(AND($N63&lt;&gt;"",$N63=Partite!$I63),Config!$D$7,Config!$D$8)))</f>
        <v/>
      </c>
      <c r="J63" s="63">
        <f>IF(Pronostici!$E63&lt;&gt;"",UPPER(Pronostici!$E63),IF(OR(Pronostici!$F63="",Pronostici!$G63=""),"",IF(Pronostici!$F63&gt;Pronostici!$G63,"1",IF(Pronostici!$F63=Pronostici!$G63,"X","2"))))</f>
        <v/>
      </c>
      <c r="K63" s="63">
        <f>IF(Pronostici!$H63&lt;&gt;"",UPPER(Pronostici!$H63),IF(OR(Pronostici!$I63="",Pronostici!$J63=""),"",IF(Pronostici!$I63&gt;Pronostici!$J63,"1",IF(Pronostici!$I63=Pronostici!$J63,"X","2"))))</f>
        <v/>
      </c>
      <c r="L63" s="63">
        <f>IF(Pronostici!$K63&lt;&gt;"",UPPER(Pronostici!$K63),IF(OR(Pronostici!$L63="",Pronostici!$M63=""),"",IF(Pronostici!$L63&gt;Pronostici!$M63,"1",IF(Pronostici!$L63=Pronostici!$M63,"X","2"))))</f>
        <v/>
      </c>
      <c r="M63" s="63">
        <f>IF(Pronostici!$N63&lt;&gt;"",UPPER(Pronostici!$N63),IF(OR(Pronostici!$O63="",Pronostici!$P63=""),"",IF(Pronostici!$O63&gt;Pronostici!$P63,"1",IF(Pronostici!$O63=Pronostici!$P63,"X","2"))))</f>
        <v/>
      </c>
      <c r="N63" s="63">
        <f>IF(Pronostici!$Q63&lt;&gt;"",UPPER(Pronostici!$Q63),IF(OR(Pronostici!$R63="",Pronostici!$S63=""),"",IF(Pronostici!$R63&gt;Pronostici!$S63,"1",IF(Pronostici!$R63=Pronostici!$S63,"X","2"))))</f>
        <v/>
      </c>
    </row>
    <row r="64">
      <c r="A64" s="69">
        <f>Partite!$A64</f>
        <v/>
      </c>
      <c r="B64" s="25">
        <f>Partite!$B64</f>
        <v/>
      </c>
      <c r="C64" s="43">
        <f>IF(Partite!$E64="","",Partite!$E64&amp;"  -  "&amp;Partite!$F64)</f>
        <v/>
      </c>
      <c r="D64" s="22">
        <f>IF(Partite!$K64&lt;&gt;"Giocata","",IF(AND(Pronostici!$F64&lt;&gt;"",Pronostici!$G64&lt;&gt;"",Pronostici!$F64=Partite!$G64,Pronostici!$G64=Partite!$H64),Config!$D$6,IF(AND($J64&lt;&gt;"",$J64=Partite!$I64),Config!$D$7,Config!$D$8)))</f>
        <v/>
      </c>
      <c r="E64" s="22">
        <f>IF(Partite!$K64&lt;&gt;"Giocata","",IF(AND(Pronostici!$I64&lt;&gt;"",Pronostici!$J64&lt;&gt;"",Pronostici!$I64=Partite!$G64,Pronostici!$J64=Partite!$H64),Config!$D$6,IF(AND($K64&lt;&gt;"",$K64=Partite!$I64),Config!$D$7,Config!$D$8)))</f>
        <v/>
      </c>
      <c r="F64" s="22">
        <f>IF(Partite!$K64&lt;&gt;"Giocata","",IF(AND(Pronostici!$L64&lt;&gt;"",Pronostici!$M64&lt;&gt;"",Pronostici!$L64=Partite!$G64,Pronostici!$M64=Partite!$H64),Config!$D$6,IF(AND($L64&lt;&gt;"",$L64=Partite!$I64),Config!$D$7,Config!$D$8)))</f>
        <v/>
      </c>
      <c r="G64" s="22">
        <f>IF(Partite!$K64&lt;&gt;"Giocata","",IF(AND(Pronostici!$O64&lt;&gt;"",Pronostici!$P64&lt;&gt;"",Pronostici!$O64=Partite!$G64,Pronostici!$P64=Partite!$H64),Config!$D$6,IF(AND($M64&lt;&gt;"",$M64=Partite!$I64),Config!$D$7,Config!$D$8)))</f>
        <v/>
      </c>
      <c r="H64" s="22">
        <f>IF(Partite!$K64&lt;&gt;"Giocata","",IF(AND(Pronostici!$R64&lt;&gt;"",Pronostici!$S64&lt;&gt;"",Pronostici!$R64=Partite!$G64,Pronostici!$S64=Partite!$H64),Config!$D$6,IF(AND($N64&lt;&gt;"",$N64=Partite!$I64),Config!$D$7,Config!$D$8)))</f>
        <v/>
      </c>
      <c r="J64" s="63">
        <f>IF(Pronostici!$E64&lt;&gt;"",UPPER(Pronostici!$E64),IF(OR(Pronostici!$F64="",Pronostici!$G64=""),"",IF(Pronostici!$F64&gt;Pronostici!$G64,"1",IF(Pronostici!$F64=Pronostici!$G64,"X","2"))))</f>
        <v/>
      </c>
      <c r="K64" s="63">
        <f>IF(Pronostici!$H64&lt;&gt;"",UPPER(Pronostici!$H64),IF(OR(Pronostici!$I64="",Pronostici!$J64=""),"",IF(Pronostici!$I64&gt;Pronostici!$J64,"1",IF(Pronostici!$I64=Pronostici!$J64,"X","2"))))</f>
        <v/>
      </c>
      <c r="L64" s="63">
        <f>IF(Pronostici!$K64&lt;&gt;"",UPPER(Pronostici!$K64),IF(OR(Pronostici!$L64="",Pronostici!$M64=""),"",IF(Pronostici!$L64&gt;Pronostici!$M64,"1",IF(Pronostici!$L64=Pronostici!$M64,"X","2"))))</f>
        <v/>
      </c>
      <c r="M64" s="63">
        <f>IF(Pronostici!$N64&lt;&gt;"",UPPER(Pronostici!$N64),IF(OR(Pronostici!$O64="",Pronostici!$P64=""),"",IF(Pronostici!$O64&gt;Pronostici!$P64,"1",IF(Pronostici!$O64=Pronostici!$P64,"X","2"))))</f>
        <v/>
      </c>
      <c r="N64" s="63">
        <f>IF(Pronostici!$Q64&lt;&gt;"",UPPER(Pronostici!$Q64),IF(OR(Pronostici!$R64="",Pronostici!$S64=""),"",IF(Pronostici!$R64&gt;Pronostici!$S64,"1",IF(Pronostici!$R64=Pronostici!$S64,"X","2"))))</f>
        <v/>
      </c>
    </row>
    <row r="65">
      <c r="A65" s="69">
        <f>Partite!$A65</f>
        <v/>
      </c>
      <c r="B65" s="25">
        <f>Partite!$B65</f>
        <v/>
      </c>
      <c r="C65" s="43">
        <f>IF(Partite!$E65="","",Partite!$E65&amp;"  -  "&amp;Partite!$F65)</f>
        <v/>
      </c>
      <c r="D65" s="22">
        <f>IF(Partite!$K65&lt;&gt;"Giocata","",IF(AND(Pronostici!$F65&lt;&gt;"",Pronostici!$G65&lt;&gt;"",Pronostici!$F65=Partite!$G65,Pronostici!$G65=Partite!$H65),Config!$D$6,IF(AND($J65&lt;&gt;"",$J65=Partite!$I65),Config!$D$7,Config!$D$8)))</f>
        <v/>
      </c>
      <c r="E65" s="22">
        <f>IF(Partite!$K65&lt;&gt;"Giocata","",IF(AND(Pronostici!$I65&lt;&gt;"",Pronostici!$J65&lt;&gt;"",Pronostici!$I65=Partite!$G65,Pronostici!$J65=Partite!$H65),Config!$D$6,IF(AND($K65&lt;&gt;"",$K65=Partite!$I65),Config!$D$7,Config!$D$8)))</f>
        <v/>
      </c>
      <c r="F65" s="22">
        <f>IF(Partite!$K65&lt;&gt;"Giocata","",IF(AND(Pronostici!$L65&lt;&gt;"",Pronostici!$M65&lt;&gt;"",Pronostici!$L65=Partite!$G65,Pronostici!$M65=Partite!$H65),Config!$D$6,IF(AND($L65&lt;&gt;"",$L65=Partite!$I65),Config!$D$7,Config!$D$8)))</f>
        <v/>
      </c>
      <c r="G65" s="22">
        <f>IF(Partite!$K65&lt;&gt;"Giocata","",IF(AND(Pronostici!$O65&lt;&gt;"",Pronostici!$P65&lt;&gt;"",Pronostici!$O65=Partite!$G65,Pronostici!$P65=Partite!$H65),Config!$D$6,IF(AND($M65&lt;&gt;"",$M65=Partite!$I65),Config!$D$7,Config!$D$8)))</f>
        <v/>
      </c>
      <c r="H65" s="22">
        <f>IF(Partite!$K65&lt;&gt;"Giocata","",IF(AND(Pronostici!$R65&lt;&gt;"",Pronostici!$S65&lt;&gt;"",Pronostici!$R65=Partite!$G65,Pronostici!$S65=Partite!$H65),Config!$D$6,IF(AND($N65&lt;&gt;"",$N65=Partite!$I65),Config!$D$7,Config!$D$8)))</f>
        <v/>
      </c>
      <c r="J65" s="63">
        <f>IF(Pronostici!$E65&lt;&gt;"",UPPER(Pronostici!$E65),IF(OR(Pronostici!$F65="",Pronostici!$G65=""),"",IF(Pronostici!$F65&gt;Pronostici!$G65,"1",IF(Pronostici!$F65=Pronostici!$G65,"X","2"))))</f>
        <v/>
      </c>
      <c r="K65" s="63">
        <f>IF(Pronostici!$H65&lt;&gt;"",UPPER(Pronostici!$H65),IF(OR(Pronostici!$I65="",Pronostici!$J65=""),"",IF(Pronostici!$I65&gt;Pronostici!$J65,"1",IF(Pronostici!$I65=Pronostici!$J65,"X","2"))))</f>
        <v/>
      </c>
      <c r="L65" s="63">
        <f>IF(Pronostici!$K65&lt;&gt;"",UPPER(Pronostici!$K65),IF(OR(Pronostici!$L65="",Pronostici!$M65=""),"",IF(Pronostici!$L65&gt;Pronostici!$M65,"1",IF(Pronostici!$L65=Pronostici!$M65,"X","2"))))</f>
        <v/>
      </c>
      <c r="M65" s="63">
        <f>IF(Pronostici!$N65&lt;&gt;"",UPPER(Pronostici!$N65),IF(OR(Pronostici!$O65="",Pronostici!$P65=""),"",IF(Pronostici!$O65&gt;Pronostici!$P65,"1",IF(Pronostici!$O65=Pronostici!$P65,"X","2"))))</f>
        <v/>
      </c>
      <c r="N65" s="63">
        <f>IF(Pronostici!$Q65&lt;&gt;"",UPPER(Pronostici!$Q65),IF(OR(Pronostici!$R65="",Pronostici!$S65=""),"",IF(Pronostici!$R65&gt;Pronostici!$S65,"1",IF(Pronostici!$R65=Pronostici!$S65,"X","2"))))</f>
        <v/>
      </c>
    </row>
    <row r="66">
      <c r="A66" s="69">
        <f>Partite!$A66</f>
        <v/>
      </c>
      <c r="B66" s="25">
        <f>Partite!$B66</f>
        <v/>
      </c>
      <c r="C66" s="43">
        <f>IF(Partite!$E66="","",Partite!$E66&amp;"  -  "&amp;Partite!$F66)</f>
        <v/>
      </c>
      <c r="D66" s="22">
        <f>IF(Partite!$K66&lt;&gt;"Giocata","",IF(AND(Pronostici!$F66&lt;&gt;"",Pronostici!$G66&lt;&gt;"",Pronostici!$F66=Partite!$G66,Pronostici!$G66=Partite!$H66),Config!$D$6,IF(AND($J66&lt;&gt;"",$J66=Partite!$I66),Config!$D$7,Config!$D$8)))</f>
        <v/>
      </c>
      <c r="E66" s="22">
        <f>IF(Partite!$K66&lt;&gt;"Giocata","",IF(AND(Pronostici!$I66&lt;&gt;"",Pronostici!$J66&lt;&gt;"",Pronostici!$I66=Partite!$G66,Pronostici!$J66=Partite!$H66),Config!$D$6,IF(AND($K66&lt;&gt;"",$K66=Partite!$I66),Config!$D$7,Config!$D$8)))</f>
        <v/>
      </c>
      <c r="F66" s="22">
        <f>IF(Partite!$K66&lt;&gt;"Giocata","",IF(AND(Pronostici!$L66&lt;&gt;"",Pronostici!$M66&lt;&gt;"",Pronostici!$L66=Partite!$G66,Pronostici!$M66=Partite!$H66),Config!$D$6,IF(AND($L66&lt;&gt;"",$L66=Partite!$I66),Config!$D$7,Config!$D$8)))</f>
        <v/>
      </c>
      <c r="G66" s="22">
        <f>IF(Partite!$K66&lt;&gt;"Giocata","",IF(AND(Pronostici!$O66&lt;&gt;"",Pronostici!$P66&lt;&gt;"",Pronostici!$O66=Partite!$G66,Pronostici!$P66=Partite!$H66),Config!$D$6,IF(AND($M66&lt;&gt;"",$M66=Partite!$I66),Config!$D$7,Config!$D$8)))</f>
        <v/>
      </c>
      <c r="H66" s="22">
        <f>IF(Partite!$K66&lt;&gt;"Giocata","",IF(AND(Pronostici!$R66&lt;&gt;"",Pronostici!$S66&lt;&gt;"",Pronostici!$R66=Partite!$G66,Pronostici!$S66=Partite!$H66),Config!$D$6,IF(AND($N66&lt;&gt;"",$N66=Partite!$I66),Config!$D$7,Config!$D$8)))</f>
        <v/>
      </c>
      <c r="J66" s="63">
        <f>IF(Pronostici!$E66&lt;&gt;"",UPPER(Pronostici!$E66),IF(OR(Pronostici!$F66="",Pronostici!$G66=""),"",IF(Pronostici!$F66&gt;Pronostici!$G66,"1",IF(Pronostici!$F66=Pronostici!$G66,"X","2"))))</f>
        <v/>
      </c>
      <c r="K66" s="63">
        <f>IF(Pronostici!$H66&lt;&gt;"",UPPER(Pronostici!$H66),IF(OR(Pronostici!$I66="",Pronostici!$J66=""),"",IF(Pronostici!$I66&gt;Pronostici!$J66,"1",IF(Pronostici!$I66=Pronostici!$J66,"X","2"))))</f>
        <v/>
      </c>
      <c r="L66" s="63">
        <f>IF(Pronostici!$K66&lt;&gt;"",UPPER(Pronostici!$K66),IF(OR(Pronostici!$L66="",Pronostici!$M66=""),"",IF(Pronostici!$L66&gt;Pronostici!$M66,"1",IF(Pronostici!$L66=Pronostici!$M66,"X","2"))))</f>
        <v/>
      </c>
      <c r="M66" s="63">
        <f>IF(Pronostici!$N66&lt;&gt;"",UPPER(Pronostici!$N66),IF(OR(Pronostici!$O66="",Pronostici!$P66=""),"",IF(Pronostici!$O66&gt;Pronostici!$P66,"1",IF(Pronostici!$O66=Pronostici!$P66,"X","2"))))</f>
        <v/>
      </c>
      <c r="N66" s="63">
        <f>IF(Pronostici!$Q66&lt;&gt;"",UPPER(Pronostici!$Q66),IF(OR(Pronostici!$R66="",Pronostici!$S66=""),"",IF(Pronostici!$R66&gt;Pronostici!$S66,"1",IF(Pronostici!$R66=Pronostici!$S66,"X","2"))))</f>
        <v/>
      </c>
    </row>
    <row r="67">
      <c r="A67" s="69">
        <f>Partite!$A67</f>
        <v/>
      </c>
      <c r="B67" s="25">
        <f>Partite!$B67</f>
        <v/>
      </c>
      <c r="C67" s="43">
        <f>IF(Partite!$E67="","",Partite!$E67&amp;"  -  "&amp;Partite!$F67)</f>
        <v/>
      </c>
      <c r="D67" s="22">
        <f>IF(Partite!$K67&lt;&gt;"Giocata","",IF(AND(Pronostici!$F67&lt;&gt;"",Pronostici!$G67&lt;&gt;"",Pronostici!$F67=Partite!$G67,Pronostici!$G67=Partite!$H67),Config!$D$6,IF(AND($J67&lt;&gt;"",$J67=Partite!$I67),Config!$D$7,Config!$D$8)))</f>
        <v/>
      </c>
      <c r="E67" s="22">
        <f>IF(Partite!$K67&lt;&gt;"Giocata","",IF(AND(Pronostici!$I67&lt;&gt;"",Pronostici!$J67&lt;&gt;"",Pronostici!$I67=Partite!$G67,Pronostici!$J67=Partite!$H67),Config!$D$6,IF(AND($K67&lt;&gt;"",$K67=Partite!$I67),Config!$D$7,Config!$D$8)))</f>
        <v/>
      </c>
      <c r="F67" s="22">
        <f>IF(Partite!$K67&lt;&gt;"Giocata","",IF(AND(Pronostici!$L67&lt;&gt;"",Pronostici!$M67&lt;&gt;"",Pronostici!$L67=Partite!$G67,Pronostici!$M67=Partite!$H67),Config!$D$6,IF(AND($L67&lt;&gt;"",$L67=Partite!$I67),Config!$D$7,Config!$D$8)))</f>
        <v/>
      </c>
      <c r="G67" s="22">
        <f>IF(Partite!$K67&lt;&gt;"Giocata","",IF(AND(Pronostici!$O67&lt;&gt;"",Pronostici!$P67&lt;&gt;"",Pronostici!$O67=Partite!$G67,Pronostici!$P67=Partite!$H67),Config!$D$6,IF(AND($M67&lt;&gt;"",$M67=Partite!$I67),Config!$D$7,Config!$D$8)))</f>
        <v/>
      </c>
      <c r="H67" s="22">
        <f>IF(Partite!$K67&lt;&gt;"Giocata","",IF(AND(Pronostici!$R67&lt;&gt;"",Pronostici!$S67&lt;&gt;"",Pronostici!$R67=Partite!$G67,Pronostici!$S67=Partite!$H67),Config!$D$6,IF(AND($N67&lt;&gt;"",$N67=Partite!$I67),Config!$D$7,Config!$D$8)))</f>
        <v/>
      </c>
      <c r="J67" s="63">
        <f>IF(Pronostici!$E67&lt;&gt;"",UPPER(Pronostici!$E67),IF(OR(Pronostici!$F67="",Pronostici!$G67=""),"",IF(Pronostici!$F67&gt;Pronostici!$G67,"1",IF(Pronostici!$F67=Pronostici!$G67,"X","2"))))</f>
        <v/>
      </c>
      <c r="K67" s="63">
        <f>IF(Pronostici!$H67&lt;&gt;"",UPPER(Pronostici!$H67),IF(OR(Pronostici!$I67="",Pronostici!$J67=""),"",IF(Pronostici!$I67&gt;Pronostici!$J67,"1",IF(Pronostici!$I67=Pronostici!$J67,"X","2"))))</f>
        <v/>
      </c>
      <c r="L67" s="63">
        <f>IF(Pronostici!$K67&lt;&gt;"",UPPER(Pronostici!$K67),IF(OR(Pronostici!$L67="",Pronostici!$M67=""),"",IF(Pronostici!$L67&gt;Pronostici!$M67,"1",IF(Pronostici!$L67=Pronostici!$M67,"X","2"))))</f>
        <v/>
      </c>
      <c r="M67" s="63">
        <f>IF(Pronostici!$N67&lt;&gt;"",UPPER(Pronostici!$N67),IF(OR(Pronostici!$O67="",Pronostici!$P67=""),"",IF(Pronostici!$O67&gt;Pronostici!$P67,"1",IF(Pronostici!$O67=Pronostici!$P67,"X","2"))))</f>
        <v/>
      </c>
      <c r="N67" s="63">
        <f>IF(Pronostici!$Q67&lt;&gt;"",UPPER(Pronostici!$Q67),IF(OR(Pronostici!$R67="",Pronostici!$S67=""),"",IF(Pronostici!$R67&gt;Pronostici!$S67,"1",IF(Pronostici!$R67=Pronostici!$S67,"X","2"))))</f>
        <v/>
      </c>
    </row>
    <row r="68">
      <c r="A68" s="69">
        <f>Partite!$A68</f>
        <v/>
      </c>
      <c r="B68" s="25">
        <f>Partite!$B68</f>
        <v/>
      </c>
      <c r="C68" s="43">
        <f>IF(Partite!$E68="","",Partite!$E68&amp;"  -  "&amp;Partite!$F68)</f>
        <v/>
      </c>
      <c r="D68" s="22">
        <f>IF(Partite!$K68&lt;&gt;"Giocata","",IF(AND(Pronostici!$F68&lt;&gt;"",Pronostici!$G68&lt;&gt;"",Pronostici!$F68=Partite!$G68,Pronostici!$G68=Partite!$H68),Config!$D$6,IF(AND($J68&lt;&gt;"",$J68=Partite!$I68),Config!$D$7,Config!$D$8)))</f>
        <v/>
      </c>
      <c r="E68" s="22">
        <f>IF(Partite!$K68&lt;&gt;"Giocata","",IF(AND(Pronostici!$I68&lt;&gt;"",Pronostici!$J68&lt;&gt;"",Pronostici!$I68=Partite!$G68,Pronostici!$J68=Partite!$H68),Config!$D$6,IF(AND($K68&lt;&gt;"",$K68=Partite!$I68),Config!$D$7,Config!$D$8)))</f>
        <v/>
      </c>
      <c r="F68" s="22">
        <f>IF(Partite!$K68&lt;&gt;"Giocata","",IF(AND(Pronostici!$L68&lt;&gt;"",Pronostici!$M68&lt;&gt;"",Pronostici!$L68=Partite!$G68,Pronostici!$M68=Partite!$H68),Config!$D$6,IF(AND($L68&lt;&gt;"",$L68=Partite!$I68),Config!$D$7,Config!$D$8)))</f>
        <v/>
      </c>
      <c r="G68" s="22">
        <f>IF(Partite!$K68&lt;&gt;"Giocata","",IF(AND(Pronostici!$O68&lt;&gt;"",Pronostici!$P68&lt;&gt;"",Pronostici!$O68=Partite!$G68,Pronostici!$P68=Partite!$H68),Config!$D$6,IF(AND($M68&lt;&gt;"",$M68=Partite!$I68),Config!$D$7,Config!$D$8)))</f>
        <v/>
      </c>
      <c r="H68" s="22">
        <f>IF(Partite!$K68&lt;&gt;"Giocata","",IF(AND(Pronostici!$R68&lt;&gt;"",Pronostici!$S68&lt;&gt;"",Pronostici!$R68=Partite!$G68,Pronostici!$S68=Partite!$H68),Config!$D$6,IF(AND($N68&lt;&gt;"",$N68=Partite!$I68),Config!$D$7,Config!$D$8)))</f>
        <v/>
      </c>
      <c r="J68" s="63">
        <f>IF(Pronostici!$E68&lt;&gt;"",UPPER(Pronostici!$E68),IF(OR(Pronostici!$F68="",Pronostici!$G68=""),"",IF(Pronostici!$F68&gt;Pronostici!$G68,"1",IF(Pronostici!$F68=Pronostici!$G68,"X","2"))))</f>
        <v/>
      </c>
      <c r="K68" s="63">
        <f>IF(Pronostici!$H68&lt;&gt;"",UPPER(Pronostici!$H68),IF(OR(Pronostici!$I68="",Pronostici!$J68=""),"",IF(Pronostici!$I68&gt;Pronostici!$J68,"1",IF(Pronostici!$I68=Pronostici!$J68,"X","2"))))</f>
        <v/>
      </c>
      <c r="L68" s="63">
        <f>IF(Pronostici!$K68&lt;&gt;"",UPPER(Pronostici!$K68),IF(OR(Pronostici!$L68="",Pronostici!$M68=""),"",IF(Pronostici!$L68&gt;Pronostici!$M68,"1",IF(Pronostici!$L68=Pronostici!$M68,"X","2"))))</f>
        <v/>
      </c>
      <c r="M68" s="63">
        <f>IF(Pronostici!$N68&lt;&gt;"",UPPER(Pronostici!$N68),IF(OR(Pronostici!$O68="",Pronostici!$P68=""),"",IF(Pronostici!$O68&gt;Pronostici!$P68,"1",IF(Pronostici!$O68=Pronostici!$P68,"X","2"))))</f>
        <v/>
      </c>
      <c r="N68" s="63">
        <f>IF(Pronostici!$Q68&lt;&gt;"",UPPER(Pronostici!$Q68),IF(OR(Pronostici!$R68="",Pronostici!$S68=""),"",IF(Pronostici!$R68&gt;Pronostici!$S68,"1",IF(Pronostici!$R68=Pronostici!$S68,"X","2"))))</f>
        <v/>
      </c>
    </row>
    <row r="69">
      <c r="A69" s="69">
        <f>Partite!$A69</f>
        <v/>
      </c>
      <c r="B69" s="25">
        <f>Partite!$B69</f>
        <v/>
      </c>
      <c r="C69" s="43">
        <f>IF(Partite!$E69="","",Partite!$E69&amp;"  -  "&amp;Partite!$F69)</f>
        <v/>
      </c>
      <c r="D69" s="22">
        <f>IF(Partite!$K69&lt;&gt;"Giocata","",IF(AND(Pronostici!$F69&lt;&gt;"",Pronostici!$G69&lt;&gt;"",Pronostici!$F69=Partite!$G69,Pronostici!$G69=Partite!$H69),Config!$D$6,IF(AND($J69&lt;&gt;"",$J69=Partite!$I69),Config!$D$7,Config!$D$8)))</f>
        <v/>
      </c>
      <c r="E69" s="22">
        <f>IF(Partite!$K69&lt;&gt;"Giocata","",IF(AND(Pronostici!$I69&lt;&gt;"",Pronostici!$J69&lt;&gt;"",Pronostici!$I69=Partite!$G69,Pronostici!$J69=Partite!$H69),Config!$D$6,IF(AND($K69&lt;&gt;"",$K69=Partite!$I69),Config!$D$7,Config!$D$8)))</f>
        <v/>
      </c>
      <c r="F69" s="22">
        <f>IF(Partite!$K69&lt;&gt;"Giocata","",IF(AND(Pronostici!$L69&lt;&gt;"",Pronostici!$M69&lt;&gt;"",Pronostici!$L69=Partite!$G69,Pronostici!$M69=Partite!$H69),Config!$D$6,IF(AND($L69&lt;&gt;"",$L69=Partite!$I69),Config!$D$7,Config!$D$8)))</f>
        <v/>
      </c>
      <c r="G69" s="22">
        <f>IF(Partite!$K69&lt;&gt;"Giocata","",IF(AND(Pronostici!$O69&lt;&gt;"",Pronostici!$P69&lt;&gt;"",Pronostici!$O69=Partite!$G69,Pronostici!$P69=Partite!$H69),Config!$D$6,IF(AND($M69&lt;&gt;"",$M69=Partite!$I69),Config!$D$7,Config!$D$8)))</f>
        <v/>
      </c>
      <c r="H69" s="22">
        <f>IF(Partite!$K69&lt;&gt;"Giocata","",IF(AND(Pronostici!$R69&lt;&gt;"",Pronostici!$S69&lt;&gt;"",Pronostici!$R69=Partite!$G69,Pronostici!$S69=Partite!$H69),Config!$D$6,IF(AND($N69&lt;&gt;"",$N69=Partite!$I69),Config!$D$7,Config!$D$8)))</f>
        <v/>
      </c>
      <c r="J69" s="63">
        <f>IF(Pronostici!$E69&lt;&gt;"",UPPER(Pronostici!$E69),IF(OR(Pronostici!$F69="",Pronostici!$G69=""),"",IF(Pronostici!$F69&gt;Pronostici!$G69,"1",IF(Pronostici!$F69=Pronostici!$G69,"X","2"))))</f>
        <v/>
      </c>
      <c r="K69" s="63">
        <f>IF(Pronostici!$H69&lt;&gt;"",UPPER(Pronostici!$H69),IF(OR(Pronostici!$I69="",Pronostici!$J69=""),"",IF(Pronostici!$I69&gt;Pronostici!$J69,"1",IF(Pronostici!$I69=Pronostici!$J69,"X","2"))))</f>
        <v/>
      </c>
      <c r="L69" s="63">
        <f>IF(Pronostici!$K69&lt;&gt;"",UPPER(Pronostici!$K69),IF(OR(Pronostici!$L69="",Pronostici!$M69=""),"",IF(Pronostici!$L69&gt;Pronostici!$M69,"1",IF(Pronostici!$L69=Pronostici!$M69,"X","2"))))</f>
        <v/>
      </c>
      <c r="M69" s="63">
        <f>IF(Pronostici!$N69&lt;&gt;"",UPPER(Pronostici!$N69),IF(OR(Pronostici!$O69="",Pronostici!$P69=""),"",IF(Pronostici!$O69&gt;Pronostici!$P69,"1",IF(Pronostici!$O69=Pronostici!$P69,"X","2"))))</f>
        <v/>
      </c>
      <c r="N69" s="63">
        <f>IF(Pronostici!$Q69&lt;&gt;"",UPPER(Pronostici!$Q69),IF(OR(Pronostici!$R69="",Pronostici!$S69=""),"",IF(Pronostici!$R69&gt;Pronostici!$S69,"1",IF(Pronostici!$R69=Pronostici!$S69,"X","2"))))</f>
        <v/>
      </c>
    </row>
    <row r="70">
      <c r="A70" s="69">
        <f>Partite!$A70</f>
        <v/>
      </c>
      <c r="B70" s="25">
        <f>Partite!$B70</f>
        <v/>
      </c>
      <c r="C70" s="43">
        <f>IF(Partite!$E70="","",Partite!$E70&amp;"  -  "&amp;Partite!$F70)</f>
        <v/>
      </c>
      <c r="D70" s="22">
        <f>IF(Partite!$K70&lt;&gt;"Giocata","",IF(AND(Pronostici!$F70&lt;&gt;"",Pronostici!$G70&lt;&gt;"",Pronostici!$F70=Partite!$G70,Pronostici!$G70=Partite!$H70),Config!$D$6,IF(AND($J70&lt;&gt;"",$J70=Partite!$I70),Config!$D$7,Config!$D$8)))</f>
        <v/>
      </c>
      <c r="E70" s="22">
        <f>IF(Partite!$K70&lt;&gt;"Giocata","",IF(AND(Pronostici!$I70&lt;&gt;"",Pronostici!$J70&lt;&gt;"",Pronostici!$I70=Partite!$G70,Pronostici!$J70=Partite!$H70),Config!$D$6,IF(AND($K70&lt;&gt;"",$K70=Partite!$I70),Config!$D$7,Config!$D$8)))</f>
        <v/>
      </c>
      <c r="F70" s="22">
        <f>IF(Partite!$K70&lt;&gt;"Giocata","",IF(AND(Pronostici!$L70&lt;&gt;"",Pronostici!$M70&lt;&gt;"",Pronostici!$L70=Partite!$G70,Pronostici!$M70=Partite!$H70),Config!$D$6,IF(AND($L70&lt;&gt;"",$L70=Partite!$I70),Config!$D$7,Config!$D$8)))</f>
        <v/>
      </c>
      <c r="G70" s="22">
        <f>IF(Partite!$K70&lt;&gt;"Giocata","",IF(AND(Pronostici!$O70&lt;&gt;"",Pronostici!$P70&lt;&gt;"",Pronostici!$O70=Partite!$G70,Pronostici!$P70=Partite!$H70),Config!$D$6,IF(AND($M70&lt;&gt;"",$M70=Partite!$I70),Config!$D$7,Config!$D$8)))</f>
        <v/>
      </c>
      <c r="H70" s="22">
        <f>IF(Partite!$K70&lt;&gt;"Giocata","",IF(AND(Pronostici!$R70&lt;&gt;"",Pronostici!$S70&lt;&gt;"",Pronostici!$R70=Partite!$G70,Pronostici!$S70=Partite!$H70),Config!$D$6,IF(AND($N70&lt;&gt;"",$N70=Partite!$I70),Config!$D$7,Config!$D$8)))</f>
        <v/>
      </c>
      <c r="J70" s="63">
        <f>IF(Pronostici!$E70&lt;&gt;"",UPPER(Pronostici!$E70),IF(OR(Pronostici!$F70="",Pronostici!$G70=""),"",IF(Pronostici!$F70&gt;Pronostici!$G70,"1",IF(Pronostici!$F70=Pronostici!$G70,"X","2"))))</f>
        <v/>
      </c>
      <c r="K70" s="63">
        <f>IF(Pronostici!$H70&lt;&gt;"",UPPER(Pronostici!$H70),IF(OR(Pronostici!$I70="",Pronostici!$J70=""),"",IF(Pronostici!$I70&gt;Pronostici!$J70,"1",IF(Pronostici!$I70=Pronostici!$J70,"X","2"))))</f>
        <v/>
      </c>
      <c r="L70" s="63">
        <f>IF(Pronostici!$K70&lt;&gt;"",UPPER(Pronostici!$K70),IF(OR(Pronostici!$L70="",Pronostici!$M70=""),"",IF(Pronostici!$L70&gt;Pronostici!$M70,"1",IF(Pronostici!$L70=Pronostici!$M70,"X","2"))))</f>
        <v/>
      </c>
      <c r="M70" s="63">
        <f>IF(Pronostici!$N70&lt;&gt;"",UPPER(Pronostici!$N70),IF(OR(Pronostici!$O70="",Pronostici!$P70=""),"",IF(Pronostici!$O70&gt;Pronostici!$P70,"1",IF(Pronostici!$O70=Pronostici!$P70,"X","2"))))</f>
        <v/>
      </c>
      <c r="N70" s="63">
        <f>IF(Pronostici!$Q70&lt;&gt;"",UPPER(Pronostici!$Q70),IF(OR(Pronostici!$R70="",Pronostici!$S70=""),"",IF(Pronostici!$R70&gt;Pronostici!$S70,"1",IF(Pronostici!$R70=Pronostici!$S70,"X","2"))))</f>
        <v/>
      </c>
    </row>
    <row r="71">
      <c r="A71" s="69">
        <f>Partite!$A71</f>
        <v/>
      </c>
      <c r="B71" s="25">
        <f>Partite!$B71</f>
        <v/>
      </c>
      <c r="C71" s="43">
        <f>IF(Partite!$E71="","",Partite!$E71&amp;"  -  "&amp;Partite!$F71)</f>
        <v/>
      </c>
      <c r="D71" s="22">
        <f>IF(Partite!$K71&lt;&gt;"Giocata","",IF(AND(Pronostici!$F71&lt;&gt;"",Pronostici!$G71&lt;&gt;"",Pronostici!$F71=Partite!$G71,Pronostici!$G71=Partite!$H71),Config!$D$6,IF(AND($J71&lt;&gt;"",$J71=Partite!$I71),Config!$D$7,Config!$D$8)))</f>
        <v/>
      </c>
      <c r="E71" s="22">
        <f>IF(Partite!$K71&lt;&gt;"Giocata","",IF(AND(Pronostici!$I71&lt;&gt;"",Pronostici!$J71&lt;&gt;"",Pronostici!$I71=Partite!$G71,Pronostici!$J71=Partite!$H71),Config!$D$6,IF(AND($K71&lt;&gt;"",$K71=Partite!$I71),Config!$D$7,Config!$D$8)))</f>
        <v/>
      </c>
      <c r="F71" s="22">
        <f>IF(Partite!$K71&lt;&gt;"Giocata","",IF(AND(Pronostici!$L71&lt;&gt;"",Pronostici!$M71&lt;&gt;"",Pronostici!$L71=Partite!$G71,Pronostici!$M71=Partite!$H71),Config!$D$6,IF(AND($L71&lt;&gt;"",$L71=Partite!$I71),Config!$D$7,Config!$D$8)))</f>
        <v/>
      </c>
      <c r="G71" s="22">
        <f>IF(Partite!$K71&lt;&gt;"Giocata","",IF(AND(Pronostici!$O71&lt;&gt;"",Pronostici!$P71&lt;&gt;"",Pronostici!$O71=Partite!$G71,Pronostici!$P71=Partite!$H71),Config!$D$6,IF(AND($M71&lt;&gt;"",$M71=Partite!$I71),Config!$D$7,Config!$D$8)))</f>
        <v/>
      </c>
      <c r="H71" s="22">
        <f>IF(Partite!$K71&lt;&gt;"Giocata","",IF(AND(Pronostici!$R71&lt;&gt;"",Pronostici!$S71&lt;&gt;"",Pronostici!$R71=Partite!$G71,Pronostici!$S71=Partite!$H71),Config!$D$6,IF(AND($N71&lt;&gt;"",$N71=Partite!$I71),Config!$D$7,Config!$D$8)))</f>
        <v/>
      </c>
      <c r="J71" s="63">
        <f>IF(Pronostici!$E71&lt;&gt;"",UPPER(Pronostici!$E71),IF(OR(Pronostici!$F71="",Pronostici!$G71=""),"",IF(Pronostici!$F71&gt;Pronostici!$G71,"1",IF(Pronostici!$F71=Pronostici!$G71,"X","2"))))</f>
        <v/>
      </c>
      <c r="K71" s="63">
        <f>IF(Pronostici!$H71&lt;&gt;"",UPPER(Pronostici!$H71),IF(OR(Pronostici!$I71="",Pronostici!$J71=""),"",IF(Pronostici!$I71&gt;Pronostici!$J71,"1",IF(Pronostici!$I71=Pronostici!$J71,"X","2"))))</f>
        <v/>
      </c>
      <c r="L71" s="63">
        <f>IF(Pronostici!$K71&lt;&gt;"",UPPER(Pronostici!$K71),IF(OR(Pronostici!$L71="",Pronostici!$M71=""),"",IF(Pronostici!$L71&gt;Pronostici!$M71,"1",IF(Pronostici!$L71=Pronostici!$M71,"X","2"))))</f>
        <v/>
      </c>
      <c r="M71" s="63">
        <f>IF(Pronostici!$N71&lt;&gt;"",UPPER(Pronostici!$N71),IF(OR(Pronostici!$O71="",Pronostici!$P71=""),"",IF(Pronostici!$O71&gt;Pronostici!$P71,"1",IF(Pronostici!$O71=Pronostici!$P71,"X","2"))))</f>
        <v/>
      </c>
      <c r="N71" s="63">
        <f>IF(Pronostici!$Q71&lt;&gt;"",UPPER(Pronostici!$Q71),IF(OR(Pronostici!$R71="",Pronostici!$S71=""),"",IF(Pronostici!$R71&gt;Pronostici!$S71,"1",IF(Pronostici!$R71=Pronostici!$S71,"X","2"))))</f>
        <v/>
      </c>
    </row>
    <row r="72">
      <c r="A72" s="69">
        <f>Partite!$A72</f>
        <v/>
      </c>
      <c r="B72" s="25">
        <f>Partite!$B72</f>
        <v/>
      </c>
      <c r="C72" s="43">
        <f>IF(Partite!$E72="","",Partite!$E72&amp;"  -  "&amp;Partite!$F72)</f>
        <v/>
      </c>
      <c r="D72" s="22">
        <f>IF(Partite!$K72&lt;&gt;"Giocata","",IF(AND(Pronostici!$F72&lt;&gt;"",Pronostici!$G72&lt;&gt;"",Pronostici!$F72=Partite!$G72,Pronostici!$G72=Partite!$H72),Config!$D$6,IF(AND($J72&lt;&gt;"",$J72=Partite!$I72),Config!$D$7,Config!$D$8)))</f>
        <v/>
      </c>
      <c r="E72" s="22">
        <f>IF(Partite!$K72&lt;&gt;"Giocata","",IF(AND(Pronostici!$I72&lt;&gt;"",Pronostici!$J72&lt;&gt;"",Pronostici!$I72=Partite!$G72,Pronostici!$J72=Partite!$H72),Config!$D$6,IF(AND($K72&lt;&gt;"",$K72=Partite!$I72),Config!$D$7,Config!$D$8)))</f>
        <v/>
      </c>
      <c r="F72" s="22">
        <f>IF(Partite!$K72&lt;&gt;"Giocata","",IF(AND(Pronostici!$L72&lt;&gt;"",Pronostici!$M72&lt;&gt;"",Pronostici!$L72=Partite!$G72,Pronostici!$M72=Partite!$H72),Config!$D$6,IF(AND($L72&lt;&gt;"",$L72=Partite!$I72),Config!$D$7,Config!$D$8)))</f>
        <v/>
      </c>
      <c r="G72" s="22">
        <f>IF(Partite!$K72&lt;&gt;"Giocata","",IF(AND(Pronostici!$O72&lt;&gt;"",Pronostici!$P72&lt;&gt;"",Pronostici!$O72=Partite!$G72,Pronostici!$P72=Partite!$H72),Config!$D$6,IF(AND($M72&lt;&gt;"",$M72=Partite!$I72),Config!$D$7,Config!$D$8)))</f>
        <v/>
      </c>
      <c r="H72" s="22">
        <f>IF(Partite!$K72&lt;&gt;"Giocata","",IF(AND(Pronostici!$R72&lt;&gt;"",Pronostici!$S72&lt;&gt;"",Pronostici!$R72=Partite!$G72,Pronostici!$S72=Partite!$H72),Config!$D$6,IF(AND($N72&lt;&gt;"",$N72=Partite!$I72),Config!$D$7,Config!$D$8)))</f>
        <v/>
      </c>
      <c r="J72" s="63">
        <f>IF(Pronostici!$E72&lt;&gt;"",UPPER(Pronostici!$E72),IF(OR(Pronostici!$F72="",Pronostici!$G72=""),"",IF(Pronostici!$F72&gt;Pronostici!$G72,"1",IF(Pronostici!$F72=Pronostici!$G72,"X","2"))))</f>
        <v/>
      </c>
      <c r="K72" s="63">
        <f>IF(Pronostici!$H72&lt;&gt;"",UPPER(Pronostici!$H72),IF(OR(Pronostici!$I72="",Pronostici!$J72=""),"",IF(Pronostici!$I72&gt;Pronostici!$J72,"1",IF(Pronostici!$I72=Pronostici!$J72,"X","2"))))</f>
        <v/>
      </c>
      <c r="L72" s="63">
        <f>IF(Pronostici!$K72&lt;&gt;"",UPPER(Pronostici!$K72),IF(OR(Pronostici!$L72="",Pronostici!$M72=""),"",IF(Pronostici!$L72&gt;Pronostici!$M72,"1",IF(Pronostici!$L72=Pronostici!$M72,"X","2"))))</f>
        <v/>
      </c>
      <c r="M72" s="63">
        <f>IF(Pronostici!$N72&lt;&gt;"",UPPER(Pronostici!$N72),IF(OR(Pronostici!$O72="",Pronostici!$P72=""),"",IF(Pronostici!$O72&gt;Pronostici!$P72,"1",IF(Pronostici!$O72=Pronostici!$P72,"X","2"))))</f>
        <v/>
      </c>
      <c r="N72" s="63">
        <f>IF(Pronostici!$Q72&lt;&gt;"",UPPER(Pronostici!$Q72),IF(OR(Pronostici!$R72="",Pronostici!$S72=""),"",IF(Pronostici!$R72&gt;Pronostici!$S72,"1",IF(Pronostici!$R72=Pronostici!$S72,"X","2"))))</f>
        <v/>
      </c>
    </row>
    <row r="73">
      <c r="A73" s="74">
        <f>Partite!$A73</f>
        <v/>
      </c>
      <c r="B73" s="30">
        <f>Partite!$B73</f>
        <v/>
      </c>
      <c r="C73" s="47">
        <f>IF(Partite!$E73="","",Partite!$E73&amp;"  -  "&amp;Partite!$F73)</f>
        <v/>
      </c>
      <c r="D73" s="27">
        <f>IF(Partite!$K73&lt;&gt;"Giocata","",IF(AND(Pronostici!$F73&lt;&gt;"",Pronostici!$G73&lt;&gt;"",Pronostici!$F73=Partite!$G73,Pronostici!$G73=Partite!$H73),Config!$D$6,IF(AND($J73&lt;&gt;"",$J73=Partite!$I73),Config!$D$7,Config!$D$8)))</f>
        <v/>
      </c>
      <c r="E73" s="27">
        <f>IF(Partite!$K73&lt;&gt;"Giocata","",IF(AND(Pronostici!$I73&lt;&gt;"",Pronostici!$J73&lt;&gt;"",Pronostici!$I73=Partite!$G73,Pronostici!$J73=Partite!$H73),Config!$D$6,IF(AND($K73&lt;&gt;"",$K73=Partite!$I73),Config!$D$7,Config!$D$8)))</f>
        <v/>
      </c>
      <c r="F73" s="27">
        <f>IF(Partite!$K73&lt;&gt;"Giocata","",IF(AND(Pronostici!$L73&lt;&gt;"",Pronostici!$M73&lt;&gt;"",Pronostici!$L73=Partite!$G73,Pronostici!$M73=Partite!$H73),Config!$D$6,IF(AND($L73&lt;&gt;"",$L73=Partite!$I73),Config!$D$7,Config!$D$8)))</f>
        <v/>
      </c>
      <c r="G73" s="27">
        <f>IF(Partite!$K73&lt;&gt;"Giocata","",IF(AND(Pronostici!$O73&lt;&gt;"",Pronostici!$P73&lt;&gt;"",Pronostici!$O73=Partite!$G73,Pronostici!$P73=Partite!$H73),Config!$D$6,IF(AND($M73&lt;&gt;"",$M73=Partite!$I73),Config!$D$7,Config!$D$8)))</f>
        <v/>
      </c>
      <c r="H73" s="27">
        <f>IF(Partite!$K73&lt;&gt;"Giocata","",IF(AND(Pronostici!$R73&lt;&gt;"",Pronostici!$S73&lt;&gt;"",Pronostici!$R73=Partite!$G73,Pronostici!$S73=Partite!$H73),Config!$D$6,IF(AND($N73&lt;&gt;"",$N73=Partite!$I73),Config!$D$7,Config!$D$8)))</f>
        <v/>
      </c>
      <c r="J73" s="63">
        <f>IF(Pronostici!$E73&lt;&gt;"",UPPER(Pronostici!$E73),IF(OR(Pronostici!$F73="",Pronostici!$G73=""),"",IF(Pronostici!$F73&gt;Pronostici!$G73,"1",IF(Pronostici!$F73=Pronostici!$G73,"X","2"))))</f>
        <v/>
      </c>
      <c r="K73" s="63">
        <f>IF(Pronostici!$H73&lt;&gt;"",UPPER(Pronostici!$H73),IF(OR(Pronostici!$I73="",Pronostici!$J73=""),"",IF(Pronostici!$I73&gt;Pronostici!$J73,"1",IF(Pronostici!$I73=Pronostici!$J73,"X","2"))))</f>
        <v/>
      </c>
      <c r="L73" s="63">
        <f>IF(Pronostici!$K73&lt;&gt;"",UPPER(Pronostici!$K73),IF(OR(Pronostici!$L73="",Pronostici!$M73=""),"",IF(Pronostici!$L73&gt;Pronostici!$M73,"1",IF(Pronostici!$L73=Pronostici!$M73,"X","2"))))</f>
        <v/>
      </c>
      <c r="M73" s="63">
        <f>IF(Pronostici!$N73&lt;&gt;"",UPPER(Pronostici!$N73),IF(OR(Pronostici!$O73="",Pronostici!$P73=""),"",IF(Pronostici!$O73&gt;Pronostici!$P73,"1",IF(Pronostici!$O73=Pronostici!$P73,"X","2"))))</f>
        <v/>
      </c>
      <c r="N73" s="63">
        <f>IF(Pronostici!$Q73&lt;&gt;"",UPPER(Pronostici!$Q73),IF(OR(Pronostici!$R73="",Pronostici!$S73=""),"",IF(Pronostici!$R73&gt;Pronostici!$S73,"1",IF(Pronostici!$R73=Pronostici!$S73,"X","2"))))</f>
        <v/>
      </c>
    </row>
    <row r="74">
      <c r="A74" s="74">
        <f>Partite!$A74</f>
        <v/>
      </c>
      <c r="B74" s="30">
        <f>Partite!$B74</f>
        <v/>
      </c>
      <c r="C74" s="47">
        <f>IF(Partite!$E74="","",Partite!$E74&amp;"  -  "&amp;Partite!$F74)</f>
        <v/>
      </c>
      <c r="D74" s="27">
        <f>IF(Partite!$K74&lt;&gt;"Giocata","",IF(AND(Pronostici!$F74&lt;&gt;"",Pronostici!$G74&lt;&gt;"",Pronostici!$F74=Partite!$G74,Pronostici!$G74=Partite!$H74),Config!$D$6,IF(AND($J74&lt;&gt;"",$J74=Partite!$I74),Config!$D$7,Config!$D$8)))</f>
        <v/>
      </c>
      <c r="E74" s="27">
        <f>IF(Partite!$K74&lt;&gt;"Giocata","",IF(AND(Pronostici!$I74&lt;&gt;"",Pronostici!$J74&lt;&gt;"",Pronostici!$I74=Partite!$G74,Pronostici!$J74=Partite!$H74),Config!$D$6,IF(AND($K74&lt;&gt;"",$K74=Partite!$I74),Config!$D$7,Config!$D$8)))</f>
        <v/>
      </c>
      <c r="F74" s="27">
        <f>IF(Partite!$K74&lt;&gt;"Giocata","",IF(AND(Pronostici!$L74&lt;&gt;"",Pronostici!$M74&lt;&gt;"",Pronostici!$L74=Partite!$G74,Pronostici!$M74=Partite!$H74),Config!$D$6,IF(AND($L74&lt;&gt;"",$L74=Partite!$I74),Config!$D$7,Config!$D$8)))</f>
        <v/>
      </c>
      <c r="G74" s="27">
        <f>IF(Partite!$K74&lt;&gt;"Giocata","",IF(AND(Pronostici!$O74&lt;&gt;"",Pronostici!$P74&lt;&gt;"",Pronostici!$O74=Partite!$G74,Pronostici!$P74=Partite!$H74),Config!$D$6,IF(AND($M74&lt;&gt;"",$M74=Partite!$I74),Config!$D$7,Config!$D$8)))</f>
        <v/>
      </c>
      <c r="H74" s="27">
        <f>IF(Partite!$K74&lt;&gt;"Giocata","",IF(AND(Pronostici!$R74&lt;&gt;"",Pronostici!$S74&lt;&gt;"",Pronostici!$R74=Partite!$G74,Pronostici!$S74=Partite!$H74),Config!$D$6,IF(AND($N74&lt;&gt;"",$N74=Partite!$I74),Config!$D$7,Config!$D$8)))</f>
        <v/>
      </c>
      <c r="J74" s="63">
        <f>IF(Pronostici!$E74&lt;&gt;"",UPPER(Pronostici!$E74),IF(OR(Pronostici!$F74="",Pronostici!$G74=""),"",IF(Pronostici!$F74&gt;Pronostici!$G74,"1",IF(Pronostici!$F74=Pronostici!$G74,"X","2"))))</f>
        <v/>
      </c>
      <c r="K74" s="63">
        <f>IF(Pronostici!$H74&lt;&gt;"",UPPER(Pronostici!$H74),IF(OR(Pronostici!$I74="",Pronostici!$J74=""),"",IF(Pronostici!$I74&gt;Pronostici!$J74,"1",IF(Pronostici!$I74=Pronostici!$J74,"X","2"))))</f>
        <v/>
      </c>
      <c r="L74" s="63">
        <f>IF(Pronostici!$K74&lt;&gt;"",UPPER(Pronostici!$K74),IF(OR(Pronostici!$L74="",Pronostici!$M74=""),"",IF(Pronostici!$L74&gt;Pronostici!$M74,"1",IF(Pronostici!$L74=Pronostici!$M74,"X","2"))))</f>
        <v/>
      </c>
      <c r="M74" s="63">
        <f>IF(Pronostici!$N74&lt;&gt;"",UPPER(Pronostici!$N74),IF(OR(Pronostici!$O74="",Pronostici!$P74=""),"",IF(Pronostici!$O74&gt;Pronostici!$P74,"1",IF(Pronostici!$O74=Pronostici!$P74,"X","2"))))</f>
        <v/>
      </c>
      <c r="N74" s="63">
        <f>IF(Pronostici!$Q74&lt;&gt;"",UPPER(Pronostici!$Q74),IF(OR(Pronostici!$R74="",Pronostici!$S74=""),"",IF(Pronostici!$R74&gt;Pronostici!$S74,"1",IF(Pronostici!$R74=Pronostici!$S74,"X","2"))))</f>
        <v/>
      </c>
    </row>
    <row r="75">
      <c r="A75" s="74">
        <f>Partite!$A75</f>
        <v/>
      </c>
      <c r="B75" s="30">
        <f>Partite!$B75</f>
        <v/>
      </c>
      <c r="C75" s="47">
        <f>IF(Partite!$E75="","",Partite!$E75&amp;"  -  "&amp;Partite!$F75)</f>
        <v/>
      </c>
      <c r="D75" s="27">
        <f>IF(Partite!$K75&lt;&gt;"Giocata","",IF(AND(Pronostici!$F75&lt;&gt;"",Pronostici!$G75&lt;&gt;"",Pronostici!$F75=Partite!$G75,Pronostici!$G75=Partite!$H75),Config!$D$6,IF(AND($J75&lt;&gt;"",$J75=Partite!$I75),Config!$D$7,Config!$D$8)))</f>
        <v/>
      </c>
      <c r="E75" s="27">
        <f>IF(Partite!$K75&lt;&gt;"Giocata","",IF(AND(Pronostici!$I75&lt;&gt;"",Pronostici!$J75&lt;&gt;"",Pronostici!$I75=Partite!$G75,Pronostici!$J75=Partite!$H75),Config!$D$6,IF(AND($K75&lt;&gt;"",$K75=Partite!$I75),Config!$D$7,Config!$D$8)))</f>
        <v/>
      </c>
      <c r="F75" s="27">
        <f>IF(Partite!$K75&lt;&gt;"Giocata","",IF(AND(Pronostici!$L75&lt;&gt;"",Pronostici!$M75&lt;&gt;"",Pronostici!$L75=Partite!$G75,Pronostici!$M75=Partite!$H75),Config!$D$6,IF(AND($L75&lt;&gt;"",$L75=Partite!$I75),Config!$D$7,Config!$D$8)))</f>
        <v/>
      </c>
      <c r="G75" s="27">
        <f>IF(Partite!$K75&lt;&gt;"Giocata","",IF(AND(Pronostici!$O75&lt;&gt;"",Pronostici!$P75&lt;&gt;"",Pronostici!$O75=Partite!$G75,Pronostici!$P75=Partite!$H75),Config!$D$6,IF(AND($M75&lt;&gt;"",$M75=Partite!$I75),Config!$D$7,Config!$D$8)))</f>
        <v/>
      </c>
      <c r="H75" s="27">
        <f>IF(Partite!$K75&lt;&gt;"Giocata","",IF(AND(Pronostici!$R75&lt;&gt;"",Pronostici!$S75&lt;&gt;"",Pronostici!$R75=Partite!$G75,Pronostici!$S75=Partite!$H75),Config!$D$6,IF(AND($N75&lt;&gt;"",$N75=Partite!$I75),Config!$D$7,Config!$D$8)))</f>
        <v/>
      </c>
      <c r="J75" s="63">
        <f>IF(Pronostici!$E75&lt;&gt;"",UPPER(Pronostici!$E75),IF(OR(Pronostici!$F75="",Pronostici!$G75=""),"",IF(Pronostici!$F75&gt;Pronostici!$G75,"1",IF(Pronostici!$F75=Pronostici!$G75,"X","2"))))</f>
        <v/>
      </c>
      <c r="K75" s="63">
        <f>IF(Pronostici!$H75&lt;&gt;"",UPPER(Pronostici!$H75),IF(OR(Pronostici!$I75="",Pronostici!$J75=""),"",IF(Pronostici!$I75&gt;Pronostici!$J75,"1",IF(Pronostici!$I75=Pronostici!$J75,"X","2"))))</f>
        <v/>
      </c>
      <c r="L75" s="63">
        <f>IF(Pronostici!$K75&lt;&gt;"",UPPER(Pronostici!$K75),IF(OR(Pronostici!$L75="",Pronostici!$M75=""),"",IF(Pronostici!$L75&gt;Pronostici!$M75,"1",IF(Pronostici!$L75=Pronostici!$M75,"X","2"))))</f>
        <v/>
      </c>
      <c r="M75" s="63">
        <f>IF(Pronostici!$N75&lt;&gt;"",UPPER(Pronostici!$N75),IF(OR(Pronostici!$O75="",Pronostici!$P75=""),"",IF(Pronostici!$O75&gt;Pronostici!$P75,"1",IF(Pronostici!$O75=Pronostici!$P75,"X","2"))))</f>
        <v/>
      </c>
      <c r="N75" s="63">
        <f>IF(Pronostici!$Q75&lt;&gt;"",UPPER(Pronostici!$Q75),IF(OR(Pronostici!$R75="",Pronostici!$S75=""),"",IF(Pronostici!$R75&gt;Pronostici!$S75,"1",IF(Pronostici!$R75=Pronostici!$S75,"X","2"))))</f>
        <v/>
      </c>
    </row>
    <row r="76">
      <c r="A76" s="74">
        <f>Partite!$A76</f>
        <v/>
      </c>
      <c r="B76" s="30">
        <f>Partite!$B76</f>
        <v/>
      </c>
      <c r="C76" s="47">
        <f>IF(Partite!$E76="","",Partite!$E76&amp;"  -  "&amp;Partite!$F76)</f>
        <v/>
      </c>
      <c r="D76" s="27">
        <f>IF(Partite!$K76&lt;&gt;"Giocata","",IF(AND(Pronostici!$F76&lt;&gt;"",Pronostici!$G76&lt;&gt;"",Pronostici!$F76=Partite!$G76,Pronostici!$G76=Partite!$H76),Config!$D$6,IF(AND($J76&lt;&gt;"",$J76=Partite!$I76),Config!$D$7,Config!$D$8)))</f>
        <v/>
      </c>
      <c r="E76" s="27">
        <f>IF(Partite!$K76&lt;&gt;"Giocata","",IF(AND(Pronostici!$I76&lt;&gt;"",Pronostici!$J76&lt;&gt;"",Pronostici!$I76=Partite!$G76,Pronostici!$J76=Partite!$H76),Config!$D$6,IF(AND($K76&lt;&gt;"",$K76=Partite!$I76),Config!$D$7,Config!$D$8)))</f>
        <v/>
      </c>
      <c r="F76" s="27">
        <f>IF(Partite!$K76&lt;&gt;"Giocata","",IF(AND(Pronostici!$L76&lt;&gt;"",Pronostici!$M76&lt;&gt;"",Pronostici!$L76=Partite!$G76,Pronostici!$M76=Partite!$H76),Config!$D$6,IF(AND($L76&lt;&gt;"",$L76=Partite!$I76),Config!$D$7,Config!$D$8)))</f>
        <v/>
      </c>
      <c r="G76" s="27">
        <f>IF(Partite!$K76&lt;&gt;"Giocata","",IF(AND(Pronostici!$O76&lt;&gt;"",Pronostici!$P76&lt;&gt;"",Pronostici!$O76=Partite!$G76,Pronostici!$P76=Partite!$H76),Config!$D$6,IF(AND($M76&lt;&gt;"",$M76=Partite!$I76),Config!$D$7,Config!$D$8)))</f>
        <v/>
      </c>
      <c r="H76" s="27">
        <f>IF(Partite!$K76&lt;&gt;"Giocata","",IF(AND(Pronostici!$R76&lt;&gt;"",Pronostici!$S76&lt;&gt;"",Pronostici!$R76=Partite!$G76,Pronostici!$S76=Partite!$H76),Config!$D$6,IF(AND($N76&lt;&gt;"",$N76=Partite!$I76),Config!$D$7,Config!$D$8)))</f>
        <v/>
      </c>
      <c r="J76" s="63">
        <f>IF(Pronostici!$E76&lt;&gt;"",UPPER(Pronostici!$E76),IF(OR(Pronostici!$F76="",Pronostici!$G76=""),"",IF(Pronostici!$F76&gt;Pronostici!$G76,"1",IF(Pronostici!$F76=Pronostici!$G76,"X","2"))))</f>
        <v/>
      </c>
      <c r="K76" s="63">
        <f>IF(Pronostici!$H76&lt;&gt;"",UPPER(Pronostici!$H76),IF(OR(Pronostici!$I76="",Pronostici!$J76=""),"",IF(Pronostici!$I76&gt;Pronostici!$J76,"1",IF(Pronostici!$I76=Pronostici!$J76,"X","2"))))</f>
        <v/>
      </c>
      <c r="L76" s="63">
        <f>IF(Pronostici!$K76&lt;&gt;"",UPPER(Pronostici!$K76),IF(OR(Pronostici!$L76="",Pronostici!$M76=""),"",IF(Pronostici!$L76&gt;Pronostici!$M76,"1",IF(Pronostici!$L76=Pronostici!$M76,"X","2"))))</f>
        <v/>
      </c>
      <c r="M76" s="63">
        <f>IF(Pronostici!$N76&lt;&gt;"",UPPER(Pronostici!$N76),IF(OR(Pronostici!$O76="",Pronostici!$P76=""),"",IF(Pronostici!$O76&gt;Pronostici!$P76,"1",IF(Pronostici!$O76=Pronostici!$P76,"X","2"))))</f>
        <v/>
      </c>
      <c r="N76" s="63">
        <f>IF(Pronostici!$Q76&lt;&gt;"",UPPER(Pronostici!$Q76),IF(OR(Pronostici!$R76="",Pronostici!$S76=""),"",IF(Pronostici!$R76&gt;Pronostici!$S76,"1",IF(Pronostici!$R76=Pronostici!$S76,"X","2"))))</f>
        <v/>
      </c>
    </row>
    <row r="77">
      <c r="A77" s="74">
        <f>Partite!$A77</f>
        <v/>
      </c>
      <c r="B77" s="30">
        <f>Partite!$B77</f>
        <v/>
      </c>
      <c r="C77" s="47">
        <f>IF(Partite!$E77="","",Partite!$E77&amp;"  -  "&amp;Partite!$F77)</f>
        <v/>
      </c>
      <c r="D77" s="27">
        <f>IF(Partite!$K77&lt;&gt;"Giocata","",IF(AND(Pronostici!$F77&lt;&gt;"",Pronostici!$G77&lt;&gt;"",Pronostici!$F77=Partite!$G77,Pronostici!$G77=Partite!$H77),Config!$D$6,IF(AND($J77&lt;&gt;"",$J77=Partite!$I77),Config!$D$7,Config!$D$8)))</f>
        <v/>
      </c>
      <c r="E77" s="27">
        <f>IF(Partite!$K77&lt;&gt;"Giocata","",IF(AND(Pronostici!$I77&lt;&gt;"",Pronostici!$J77&lt;&gt;"",Pronostici!$I77=Partite!$G77,Pronostici!$J77=Partite!$H77),Config!$D$6,IF(AND($K77&lt;&gt;"",$K77=Partite!$I77),Config!$D$7,Config!$D$8)))</f>
        <v/>
      </c>
      <c r="F77" s="27">
        <f>IF(Partite!$K77&lt;&gt;"Giocata","",IF(AND(Pronostici!$L77&lt;&gt;"",Pronostici!$M77&lt;&gt;"",Pronostici!$L77=Partite!$G77,Pronostici!$M77=Partite!$H77),Config!$D$6,IF(AND($L77&lt;&gt;"",$L77=Partite!$I77),Config!$D$7,Config!$D$8)))</f>
        <v/>
      </c>
      <c r="G77" s="27">
        <f>IF(Partite!$K77&lt;&gt;"Giocata","",IF(AND(Pronostici!$O77&lt;&gt;"",Pronostici!$P77&lt;&gt;"",Pronostici!$O77=Partite!$G77,Pronostici!$P77=Partite!$H77),Config!$D$6,IF(AND($M77&lt;&gt;"",$M77=Partite!$I77),Config!$D$7,Config!$D$8)))</f>
        <v/>
      </c>
      <c r="H77" s="27">
        <f>IF(Partite!$K77&lt;&gt;"Giocata","",IF(AND(Pronostici!$R77&lt;&gt;"",Pronostici!$S77&lt;&gt;"",Pronostici!$R77=Partite!$G77,Pronostici!$S77=Partite!$H77),Config!$D$6,IF(AND($N77&lt;&gt;"",$N77=Partite!$I77),Config!$D$7,Config!$D$8)))</f>
        <v/>
      </c>
      <c r="J77" s="63">
        <f>IF(Pronostici!$E77&lt;&gt;"",UPPER(Pronostici!$E77),IF(OR(Pronostici!$F77="",Pronostici!$G77=""),"",IF(Pronostici!$F77&gt;Pronostici!$G77,"1",IF(Pronostici!$F77=Pronostici!$G77,"X","2"))))</f>
        <v/>
      </c>
      <c r="K77" s="63">
        <f>IF(Pronostici!$H77&lt;&gt;"",UPPER(Pronostici!$H77),IF(OR(Pronostici!$I77="",Pronostici!$J77=""),"",IF(Pronostici!$I77&gt;Pronostici!$J77,"1",IF(Pronostici!$I77=Pronostici!$J77,"X","2"))))</f>
        <v/>
      </c>
      <c r="L77" s="63">
        <f>IF(Pronostici!$K77&lt;&gt;"",UPPER(Pronostici!$K77),IF(OR(Pronostici!$L77="",Pronostici!$M77=""),"",IF(Pronostici!$L77&gt;Pronostici!$M77,"1",IF(Pronostici!$L77=Pronostici!$M77,"X","2"))))</f>
        <v/>
      </c>
      <c r="M77" s="63">
        <f>IF(Pronostici!$N77&lt;&gt;"",UPPER(Pronostici!$N77),IF(OR(Pronostici!$O77="",Pronostici!$P77=""),"",IF(Pronostici!$O77&gt;Pronostici!$P77,"1",IF(Pronostici!$O77=Pronostici!$P77,"X","2"))))</f>
        <v/>
      </c>
      <c r="N77" s="63">
        <f>IF(Pronostici!$Q77&lt;&gt;"",UPPER(Pronostici!$Q77),IF(OR(Pronostici!$R77="",Pronostici!$S77=""),"",IF(Pronostici!$R77&gt;Pronostici!$S77,"1",IF(Pronostici!$R77=Pronostici!$S77,"X","2"))))</f>
        <v/>
      </c>
    </row>
    <row r="78">
      <c r="A78" s="74">
        <f>Partite!$A78</f>
        <v/>
      </c>
      <c r="B78" s="30">
        <f>Partite!$B78</f>
        <v/>
      </c>
      <c r="C78" s="47">
        <f>IF(Partite!$E78="","",Partite!$E78&amp;"  -  "&amp;Partite!$F78)</f>
        <v/>
      </c>
      <c r="D78" s="27">
        <f>IF(Partite!$K78&lt;&gt;"Giocata","",IF(AND(Pronostici!$F78&lt;&gt;"",Pronostici!$G78&lt;&gt;"",Pronostici!$F78=Partite!$G78,Pronostici!$G78=Partite!$H78),Config!$D$6,IF(AND($J78&lt;&gt;"",$J78=Partite!$I78),Config!$D$7,Config!$D$8)))</f>
        <v/>
      </c>
      <c r="E78" s="27">
        <f>IF(Partite!$K78&lt;&gt;"Giocata","",IF(AND(Pronostici!$I78&lt;&gt;"",Pronostici!$J78&lt;&gt;"",Pronostici!$I78=Partite!$G78,Pronostici!$J78=Partite!$H78),Config!$D$6,IF(AND($K78&lt;&gt;"",$K78=Partite!$I78),Config!$D$7,Config!$D$8)))</f>
        <v/>
      </c>
      <c r="F78" s="27">
        <f>IF(Partite!$K78&lt;&gt;"Giocata","",IF(AND(Pronostici!$L78&lt;&gt;"",Pronostici!$M78&lt;&gt;"",Pronostici!$L78=Partite!$G78,Pronostici!$M78=Partite!$H78),Config!$D$6,IF(AND($L78&lt;&gt;"",$L78=Partite!$I78),Config!$D$7,Config!$D$8)))</f>
        <v/>
      </c>
      <c r="G78" s="27">
        <f>IF(Partite!$K78&lt;&gt;"Giocata","",IF(AND(Pronostici!$O78&lt;&gt;"",Pronostici!$P78&lt;&gt;"",Pronostici!$O78=Partite!$G78,Pronostici!$P78=Partite!$H78),Config!$D$6,IF(AND($M78&lt;&gt;"",$M78=Partite!$I78),Config!$D$7,Config!$D$8)))</f>
        <v/>
      </c>
      <c r="H78" s="27">
        <f>IF(Partite!$K78&lt;&gt;"Giocata","",IF(AND(Pronostici!$R78&lt;&gt;"",Pronostici!$S78&lt;&gt;"",Pronostici!$R78=Partite!$G78,Pronostici!$S78=Partite!$H78),Config!$D$6,IF(AND($N78&lt;&gt;"",$N78=Partite!$I78),Config!$D$7,Config!$D$8)))</f>
        <v/>
      </c>
      <c r="J78" s="63">
        <f>IF(Pronostici!$E78&lt;&gt;"",UPPER(Pronostici!$E78),IF(OR(Pronostici!$F78="",Pronostici!$G78=""),"",IF(Pronostici!$F78&gt;Pronostici!$G78,"1",IF(Pronostici!$F78=Pronostici!$G78,"X","2"))))</f>
        <v/>
      </c>
      <c r="K78" s="63">
        <f>IF(Pronostici!$H78&lt;&gt;"",UPPER(Pronostici!$H78),IF(OR(Pronostici!$I78="",Pronostici!$J78=""),"",IF(Pronostici!$I78&gt;Pronostici!$J78,"1",IF(Pronostici!$I78=Pronostici!$J78,"X","2"))))</f>
        <v/>
      </c>
      <c r="L78" s="63">
        <f>IF(Pronostici!$K78&lt;&gt;"",UPPER(Pronostici!$K78),IF(OR(Pronostici!$L78="",Pronostici!$M78=""),"",IF(Pronostici!$L78&gt;Pronostici!$M78,"1",IF(Pronostici!$L78=Pronostici!$M78,"X","2"))))</f>
        <v/>
      </c>
      <c r="M78" s="63">
        <f>IF(Pronostici!$N78&lt;&gt;"",UPPER(Pronostici!$N78),IF(OR(Pronostici!$O78="",Pronostici!$P78=""),"",IF(Pronostici!$O78&gt;Pronostici!$P78,"1",IF(Pronostici!$O78=Pronostici!$P78,"X","2"))))</f>
        <v/>
      </c>
      <c r="N78" s="63">
        <f>IF(Pronostici!$Q78&lt;&gt;"",UPPER(Pronostici!$Q78),IF(OR(Pronostici!$R78="",Pronostici!$S78=""),"",IF(Pronostici!$R78&gt;Pronostici!$S78,"1",IF(Pronostici!$R78=Pronostici!$S78,"X","2"))))</f>
        <v/>
      </c>
    </row>
    <row r="79">
      <c r="A79" s="74">
        <f>Partite!$A79</f>
        <v/>
      </c>
      <c r="B79" s="30">
        <f>Partite!$B79</f>
        <v/>
      </c>
      <c r="C79" s="47">
        <f>IF(Partite!$E79="","",Partite!$E79&amp;"  -  "&amp;Partite!$F79)</f>
        <v/>
      </c>
      <c r="D79" s="27">
        <f>IF(Partite!$K79&lt;&gt;"Giocata","",IF(AND(Pronostici!$F79&lt;&gt;"",Pronostici!$G79&lt;&gt;"",Pronostici!$F79=Partite!$G79,Pronostici!$G79=Partite!$H79),Config!$D$6,IF(AND($J79&lt;&gt;"",$J79=Partite!$I79),Config!$D$7,Config!$D$8)))</f>
        <v/>
      </c>
      <c r="E79" s="27">
        <f>IF(Partite!$K79&lt;&gt;"Giocata","",IF(AND(Pronostici!$I79&lt;&gt;"",Pronostici!$J79&lt;&gt;"",Pronostici!$I79=Partite!$G79,Pronostici!$J79=Partite!$H79),Config!$D$6,IF(AND($K79&lt;&gt;"",$K79=Partite!$I79),Config!$D$7,Config!$D$8)))</f>
        <v/>
      </c>
      <c r="F79" s="27">
        <f>IF(Partite!$K79&lt;&gt;"Giocata","",IF(AND(Pronostici!$L79&lt;&gt;"",Pronostici!$M79&lt;&gt;"",Pronostici!$L79=Partite!$G79,Pronostici!$M79=Partite!$H79),Config!$D$6,IF(AND($L79&lt;&gt;"",$L79=Partite!$I79),Config!$D$7,Config!$D$8)))</f>
        <v/>
      </c>
      <c r="G79" s="27">
        <f>IF(Partite!$K79&lt;&gt;"Giocata","",IF(AND(Pronostici!$O79&lt;&gt;"",Pronostici!$P79&lt;&gt;"",Pronostici!$O79=Partite!$G79,Pronostici!$P79=Partite!$H79),Config!$D$6,IF(AND($M79&lt;&gt;"",$M79=Partite!$I79),Config!$D$7,Config!$D$8)))</f>
        <v/>
      </c>
      <c r="H79" s="27">
        <f>IF(Partite!$K79&lt;&gt;"Giocata","",IF(AND(Pronostici!$R79&lt;&gt;"",Pronostici!$S79&lt;&gt;"",Pronostici!$R79=Partite!$G79,Pronostici!$S79=Partite!$H79),Config!$D$6,IF(AND($N79&lt;&gt;"",$N79=Partite!$I79),Config!$D$7,Config!$D$8)))</f>
        <v/>
      </c>
      <c r="J79" s="63">
        <f>IF(Pronostici!$E79&lt;&gt;"",UPPER(Pronostici!$E79),IF(OR(Pronostici!$F79="",Pronostici!$G79=""),"",IF(Pronostici!$F79&gt;Pronostici!$G79,"1",IF(Pronostici!$F79=Pronostici!$G79,"X","2"))))</f>
        <v/>
      </c>
      <c r="K79" s="63">
        <f>IF(Pronostici!$H79&lt;&gt;"",UPPER(Pronostici!$H79),IF(OR(Pronostici!$I79="",Pronostici!$J79=""),"",IF(Pronostici!$I79&gt;Pronostici!$J79,"1",IF(Pronostici!$I79=Pronostici!$J79,"X","2"))))</f>
        <v/>
      </c>
      <c r="L79" s="63">
        <f>IF(Pronostici!$K79&lt;&gt;"",UPPER(Pronostici!$K79),IF(OR(Pronostici!$L79="",Pronostici!$M79=""),"",IF(Pronostici!$L79&gt;Pronostici!$M79,"1",IF(Pronostici!$L79=Pronostici!$M79,"X","2"))))</f>
        <v/>
      </c>
      <c r="M79" s="63">
        <f>IF(Pronostici!$N79&lt;&gt;"",UPPER(Pronostici!$N79),IF(OR(Pronostici!$O79="",Pronostici!$P79=""),"",IF(Pronostici!$O79&gt;Pronostici!$P79,"1",IF(Pronostici!$O79=Pronostici!$P79,"X","2"))))</f>
        <v/>
      </c>
      <c r="N79" s="63">
        <f>IF(Pronostici!$Q79&lt;&gt;"",UPPER(Pronostici!$Q79),IF(OR(Pronostici!$R79="",Pronostici!$S79=""),"",IF(Pronostici!$R79&gt;Pronostici!$S79,"1",IF(Pronostici!$R79=Pronostici!$S79,"X","2"))))</f>
        <v/>
      </c>
    </row>
    <row r="80">
      <c r="A80" s="74">
        <f>Partite!$A80</f>
        <v/>
      </c>
      <c r="B80" s="30">
        <f>Partite!$B80</f>
        <v/>
      </c>
      <c r="C80" s="47">
        <f>IF(Partite!$E80="","",Partite!$E80&amp;"  -  "&amp;Partite!$F80)</f>
        <v/>
      </c>
      <c r="D80" s="27">
        <f>IF(Partite!$K80&lt;&gt;"Giocata","",IF(AND(Pronostici!$F80&lt;&gt;"",Pronostici!$G80&lt;&gt;"",Pronostici!$F80=Partite!$G80,Pronostici!$G80=Partite!$H80),Config!$D$6,IF(AND($J80&lt;&gt;"",$J80=Partite!$I80),Config!$D$7,Config!$D$8)))</f>
        <v/>
      </c>
      <c r="E80" s="27">
        <f>IF(Partite!$K80&lt;&gt;"Giocata","",IF(AND(Pronostici!$I80&lt;&gt;"",Pronostici!$J80&lt;&gt;"",Pronostici!$I80=Partite!$G80,Pronostici!$J80=Partite!$H80),Config!$D$6,IF(AND($K80&lt;&gt;"",$K80=Partite!$I80),Config!$D$7,Config!$D$8)))</f>
        <v/>
      </c>
      <c r="F80" s="27">
        <f>IF(Partite!$K80&lt;&gt;"Giocata","",IF(AND(Pronostici!$L80&lt;&gt;"",Pronostici!$M80&lt;&gt;"",Pronostici!$L80=Partite!$G80,Pronostici!$M80=Partite!$H80),Config!$D$6,IF(AND($L80&lt;&gt;"",$L80=Partite!$I80),Config!$D$7,Config!$D$8)))</f>
        <v/>
      </c>
      <c r="G80" s="27">
        <f>IF(Partite!$K80&lt;&gt;"Giocata","",IF(AND(Pronostici!$O80&lt;&gt;"",Pronostici!$P80&lt;&gt;"",Pronostici!$O80=Partite!$G80,Pronostici!$P80=Partite!$H80),Config!$D$6,IF(AND($M80&lt;&gt;"",$M80=Partite!$I80),Config!$D$7,Config!$D$8)))</f>
        <v/>
      </c>
      <c r="H80" s="27">
        <f>IF(Partite!$K80&lt;&gt;"Giocata","",IF(AND(Pronostici!$R80&lt;&gt;"",Pronostici!$S80&lt;&gt;"",Pronostici!$R80=Partite!$G80,Pronostici!$S80=Partite!$H80),Config!$D$6,IF(AND($N80&lt;&gt;"",$N80=Partite!$I80),Config!$D$7,Config!$D$8)))</f>
        <v/>
      </c>
      <c r="J80" s="63">
        <f>IF(Pronostici!$E80&lt;&gt;"",UPPER(Pronostici!$E80),IF(OR(Pronostici!$F80="",Pronostici!$G80=""),"",IF(Pronostici!$F80&gt;Pronostici!$G80,"1",IF(Pronostici!$F80=Pronostici!$G80,"X","2"))))</f>
        <v/>
      </c>
      <c r="K80" s="63">
        <f>IF(Pronostici!$H80&lt;&gt;"",UPPER(Pronostici!$H80),IF(OR(Pronostici!$I80="",Pronostici!$J80=""),"",IF(Pronostici!$I80&gt;Pronostici!$J80,"1",IF(Pronostici!$I80=Pronostici!$J80,"X","2"))))</f>
        <v/>
      </c>
      <c r="L80" s="63">
        <f>IF(Pronostici!$K80&lt;&gt;"",UPPER(Pronostici!$K80),IF(OR(Pronostici!$L80="",Pronostici!$M80=""),"",IF(Pronostici!$L80&gt;Pronostici!$M80,"1",IF(Pronostici!$L80=Pronostici!$M80,"X","2"))))</f>
        <v/>
      </c>
      <c r="M80" s="63">
        <f>IF(Pronostici!$N80&lt;&gt;"",UPPER(Pronostici!$N80),IF(OR(Pronostici!$O80="",Pronostici!$P80=""),"",IF(Pronostici!$O80&gt;Pronostici!$P80,"1",IF(Pronostici!$O80=Pronostici!$P80,"X","2"))))</f>
        <v/>
      </c>
      <c r="N80" s="63">
        <f>IF(Pronostici!$Q80&lt;&gt;"",UPPER(Pronostici!$Q80),IF(OR(Pronostici!$R80="",Pronostici!$S80=""),"",IF(Pronostici!$R80&gt;Pronostici!$S80,"1",IF(Pronostici!$R80=Pronostici!$S80,"X","2"))))</f>
        <v/>
      </c>
    </row>
    <row r="81">
      <c r="A81" s="74">
        <f>Partite!$A81</f>
        <v/>
      </c>
      <c r="B81" s="30">
        <f>Partite!$B81</f>
        <v/>
      </c>
      <c r="C81" s="47">
        <f>IF(Partite!$E81="","",Partite!$E81&amp;"  -  "&amp;Partite!$F81)</f>
        <v/>
      </c>
      <c r="D81" s="27">
        <f>IF(Partite!$K81&lt;&gt;"Giocata","",IF(AND(Pronostici!$F81&lt;&gt;"",Pronostici!$G81&lt;&gt;"",Pronostici!$F81=Partite!$G81,Pronostici!$G81=Partite!$H81),Config!$D$6,IF(AND($J81&lt;&gt;"",$J81=Partite!$I81),Config!$D$7,Config!$D$8)))</f>
        <v/>
      </c>
      <c r="E81" s="27">
        <f>IF(Partite!$K81&lt;&gt;"Giocata","",IF(AND(Pronostici!$I81&lt;&gt;"",Pronostici!$J81&lt;&gt;"",Pronostici!$I81=Partite!$G81,Pronostici!$J81=Partite!$H81),Config!$D$6,IF(AND($K81&lt;&gt;"",$K81=Partite!$I81),Config!$D$7,Config!$D$8)))</f>
        <v/>
      </c>
      <c r="F81" s="27">
        <f>IF(Partite!$K81&lt;&gt;"Giocata","",IF(AND(Pronostici!$L81&lt;&gt;"",Pronostici!$M81&lt;&gt;"",Pronostici!$L81=Partite!$G81,Pronostici!$M81=Partite!$H81),Config!$D$6,IF(AND($L81&lt;&gt;"",$L81=Partite!$I81),Config!$D$7,Config!$D$8)))</f>
        <v/>
      </c>
      <c r="G81" s="27">
        <f>IF(Partite!$K81&lt;&gt;"Giocata","",IF(AND(Pronostici!$O81&lt;&gt;"",Pronostici!$P81&lt;&gt;"",Pronostici!$O81=Partite!$G81,Pronostici!$P81=Partite!$H81),Config!$D$6,IF(AND($M81&lt;&gt;"",$M81=Partite!$I81),Config!$D$7,Config!$D$8)))</f>
        <v/>
      </c>
      <c r="H81" s="27">
        <f>IF(Partite!$K81&lt;&gt;"Giocata","",IF(AND(Pronostici!$R81&lt;&gt;"",Pronostici!$S81&lt;&gt;"",Pronostici!$R81=Partite!$G81,Pronostici!$S81=Partite!$H81),Config!$D$6,IF(AND($N81&lt;&gt;"",$N81=Partite!$I81),Config!$D$7,Config!$D$8)))</f>
        <v/>
      </c>
      <c r="J81" s="63">
        <f>IF(Pronostici!$E81&lt;&gt;"",UPPER(Pronostici!$E81),IF(OR(Pronostici!$F81="",Pronostici!$G81=""),"",IF(Pronostici!$F81&gt;Pronostici!$G81,"1",IF(Pronostici!$F81=Pronostici!$G81,"X","2"))))</f>
        <v/>
      </c>
      <c r="K81" s="63">
        <f>IF(Pronostici!$H81&lt;&gt;"",UPPER(Pronostici!$H81),IF(OR(Pronostici!$I81="",Pronostici!$J81=""),"",IF(Pronostici!$I81&gt;Pronostici!$J81,"1",IF(Pronostici!$I81=Pronostici!$J81,"X","2"))))</f>
        <v/>
      </c>
      <c r="L81" s="63">
        <f>IF(Pronostici!$K81&lt;&gt;"",UPPER(Pronostici!$K81),IF(OR(Pronostici!$L81="",Pronostici!$M81=""),"",IF(Pronostici!$L81&gt;Pronostici!$M81,"1",IF(Pronostici!$L81=Pronostici!$M81,"X","2"))))</f>
        <v/>
      </c>
      <c r="M81" s="63">
        <f>IF(Pronostici!$N81&lt;&gt;"",UPPER(Pronostici!$N81),IF(OR(Pronostici!$O81="",Pronostici!$P81=""),"",IF(Pronostici!$O81&gt;Pronostici!$P81,"1",IF(Pronostici!$O81=Pronostici!$P81,"X","2"))))</f>
        <v/>
      </c>
      <c r="N81" s="63">
        <f>IF(Pronostici!$Q81&lt;&gt;"",UPPER(Pronostici!$Q81),IF(OR(Pronostici!$R81="",Pronostici!$S81=""),"",IF(Pronostici!$R81&gt;Pronostici!$S81,"1",IF(Pronostici!$R81=Pronostici!$S81,"X","2"))))</f>
        <v/>
      </c>
    </row>
    <row r="82">
      <c r="A82" s="74">
        <f>Partite!$A82</f>
        <v/>
      </c>
      <c r="B82" s="30">
        <f>Partite!$B82</f>
        <v/>
      </c>
      <c r="C82" s="47">
        <f>IF(Partite!$E82="","",Partite!$E82&amp;"  -  "&amp;Partite!$F82)</f>
        <v/>
      </c>
      <c r="D82" s="27">
        <f>IF(Partite!$K82&lt;&gt;"Giocata","",IF(AND(Pronostici!$F82&lt;&gt;"",Pronostici!$G82&lt;&gt;"",Pronostici!$F82=Partite!$G82,Pronostici!$G82=Partite!$H82),Config!$D$6,IF(AND($J82&lt;&gt;"",$J82=Partite!$I82),Config!$D$7,Config!$D$8)))</f>
        <v/>
      </c>
      <c r="E82" s="27">
        <f>IF(Partite!$K82&lt;&gt;"Giocata","",IF(AND(Pronostici!$I82&lt;&gt;"",Pronostici!$J82&lt;&gt;"",Pronostici!$I82=Partite!$G82,Pronostici!$J82=Partite!$H82),Config!$D$6,IF(AND($K82&lt;&gt;"",$K82=Partite!$I82),Config!$D$7,Config!$D$8)))</f>
        <v/>
      </c>
      <c r="F82" s="27">
        <f>IF(Partite!$K82&lt;&gt;"Giocata","",IF(AND(Pronostici!$L82&lt;&gt;"",Pronostici!$M82&lt;&gt;"",Pronostici!$L82=Partite!$G82,Pronostici!$M82=Partite!$H82),Config!$D$6,IF(AND($L82&lt;&gt;"",$L82=Partite!$I82),Config!$D$7,Config!$D$8)))</f>
        <v/>
      </c>
      <c r="G82" s="27">
        <f>IF(Partite!$K82&lt;&gt;"Giocata","",IF(AND(Pronostici!$O82&lt;&gt;"",Pronostici!$P82&lt;&gt;"",Pronostici!$O82=Partite!$G82,Pronostici!$P82=Partite!$H82),Config!$D$6,IF(AND($M82&lt;&gt;"",$M82=Partite!$I82),Config!$D$7,Config!$D$8)))</f>
        <v/>
      </c>
      <c r="H82" s="27">
        <f>IF(Partite!$K82&lt;&gt;"Giocata","",IF(AND(Pronostici!$R82&lt;&gt;"",Pronostici!$S82&lt;&gt;"",Pronostici!$R82=Partite!$G82,Pronostici!$S82=Partite!$H82),Config!$D$6,IF(AND($N82&lt;&gt;"",$N82=Partite!$I82),Config!$D$7,Config!$D$8)))</f>
        <v/>
      </c>
      <c r="J82" s="63">
        <f>IF(Pronostici!$E82&lt;&gt;"",UPPER(Pronostici!$E82),IF(OR(Pronostici!$F82="",Pronostici!$G82=""),"",IF(Pronostici!$F82&gt;Pronostici!$G82,"1",IF(Pronostici!$F82=Pronostici!$G82,"X","2"))))</f>
        <v/>
      </c>
      <c r="K82" s="63">
        <f>IF(Pronostici!$H82&lt;&gt;"",UPPER(Pronostici!$H82),IF(OR(Pronostici!$I82="",Pronostici!$J82=""),"",IF(Pronostici!$I82&gt;Pronostici!$J82,"1",IF(Pronostici!$I82=Pronostici!$J82,"X","2"))))</f>
        <v/>
      </c>
      <c r="L82" s="63">
        <f>IF(Pronostici!$K82&lt;&gt;"",UPPER(Pronostici!$K82),IF(OR(Pronostici!$L82="",Pronostici!$M82=""),"",IF(Pronostici!$L82&gt;Pronostici!$M82,"1",IF(Pronostici!$L82=Pronostici!$M82,"X","2"))))</f>
        <v/>
      </c>
      <c r="M82" s="63">
        <f>IF(Pronostici!$N82&lt;&gt;"",UPPER(Pronostici!$N82),IF(OR(Pronostici!$O82="",Pronostici!$P82=""),"",IF(Pronostici!$O82&gt;Pronostici!$P82,"1",IF(Pronostici!$O82=Pronostici!$P82,"X","2"))))</f>
        <v/>
      </c>
      <c r="N82" s="63">
        <f>IF(Pronostici!$Q82&lt;&gt;"",UPPER(Pronostici!$Q82),IF(OR(Pronostici!$R82="",Pronostici!$S82=""),"",IF(Pronostici!$R82&gt;Pronostici!$S82,"1",IF(Pronostici!$R82=Pronostici!$S82,"X","2"))))</f>
        <v/>
      </c>
    </row>
  </sheetData>
  <mergeCells count="1">
    <mergeCell ref="A1:H1"/>
  </mergeCells>
  <conditionalFormatting sqref="D3:D82">
    <cfRule type="cellIs" priority="1" operator="greaterThanOrEqual" dxfId="0">
      <formula>3</formula>
    </cfRule>
    <cfRule type="cellIs" priority="2" operator="equal" dxfId="1">
      <formula>1</formula>
    </cfRule>
  </conditionalFormatting>
  <conditionalFormatting sqref="E3:E82">
    <cfRule type="cellIs" priority="3" operator="greaterThanOrEqual" dxfId="0">
      <formula>3</formula>
    </cfRule>
    <cfRule type="cellIs" priority="4" operator="equal" dxfId="1">
      <formula>1</formula>
    </cfRule>
  </conditionalFormatting>
  <conditionalFormatting sqref="F3:F82">
    <cfRule type="cellIs" priority="5" operator="greaterThanOrEqual" dxfId="0">
      <formula>3</formula>
    </cfRule>
    <cfRule type="cellIs" priority="6" operator="equal" dxfId="1">
      <formula>1</formula>
    </cfRule>
  </conditionalFormatting>
  <conditionalFormatting sqref="G3:G82">
    <cfRule type="cellIs" priority="7" operator="greaterThanOrEqual" dxfId="0">
      <formula>3</formula>
    </cfRule>
    <cfRule type="cellIs" priority="8" operator="equal" dxfId="1">
      <formula>1</formula>
    </cfRule>
  </conditionalFormatting>
  <conditionalFormatting sqref="H3:H82">
    <cfRule type="cellIs" priority="9" operator="greaterThanOrEqual" dxfId="0">
      <formula>3</formula>
    </cfRule>
    <cfRule type="cellIs" priority="10" operator="equal" dxfId="1">
      <formula>1</formula>
    </cfRule>
  </conditionalFormatting>
  <pageMargins left="0.75" right="0.75" top="1" bottom="1" header="0.5" footer="0.5"/>
</worksheet>
</file>

<file path=xl/worksheets/sheet5.xml><?xml version="1.0" encoding="utf-8"?>
<worksheet xmlns="http://schemas.openxmlformats.org/spreadsheetml/2006/main">
  <sheetPr>
    <tabColor rgb="00EAEEF5"/>
    <outlinePr summaryBelow="1" summaryRight="1"/>
    <pageSetUpPr/>
  </sheetPr>
  <dimension ref="A1:F46"/>
  <sheetViews>
    <sheetView showGridLines="0" workbookViewId="0">
      <selection activeCell="A1" sqref="A1"/>
    </sheetView>
  </sheetViews>
  <sheetFormatPr baseColWidth="8" defaultRowHeight="15"/>
  <cols>
    <col width="34" customWidth="1" min="1" max="1"/>
    <col width="10" customWidth="1" min="2" max="2"/>
    <col width="38" customWidth="1" min="3" max="3"/>
    <col width="10" customWidth="1" min="4" max="4"/>
    <col width="10" customWidth="1" min="5" max="5"/>
    <col width="34" customWidth="1" min="6" max="6"/>
  </cols>
  <sheetData>
    <row r="1" ht="30" customHeight="1">
      <c r="A1" s="93" t="inlineStr">
        <is>
          <t xml:space="preserve">  TROFEO OVALMO - REGOLE E CONFIGURAZIONE</t>
        </is>
      </c>
      <c r="B1" s="2" t="n"/>
      <c r="C1" s="2" t="n"/>
      <c r="D1" s="2" t="n"/>
      <c r="E1" s="2" t="n"/>
      <c r="F1" s="2" t="n"/>
    </row>
    <row r="2" ht="6" customHeight="1"/>
    <row r="4">
      <c r="A4" s="36" t="inlineStr">
        <is>
          <t>GIOCATORI</t>
        </is>
      </c>
      <c r="C4" s="36" t="inlineStr">
        <is>
          <t>PUNTEGGIO</t>
        </is>
      </c>
    </row>
    <row r="5">
      <c r="A5" s="35" t="inlineStr">
        <is>
          <t>Cambia un nome qui: si aggiorna in tutti i fogli.</t>
        </is>
      </c>
      <c r="C5" s="94" t="inlineStr">
        <is>
          <t>Caso</t>
        </is>
      </c>
      <c r="D5" s="38" t="inlineStr">
        <is>
          <t>Punti</t>
        </is>
      </c>
    </row>
    <row r="6">
      <c r="A6" s="95" t="inlineStr">
        <is>
          <t>Berta</t>
        </is>
      </c>
      <c r="C6" s="43" t="inlineStr">
        <is>
          <t>Risultato esatto (segno + gol)</t>
        </is>
      </c>
      <c r="D6" s="96" t="n">
        <v>3</v>
      </c>
    </row>
    <row r="7">
      <c r="A7" s="97" t="inlineStr">
        <is>
          <t>Super Gulp</t>
        </is>
      </c>
      <c r="C7" s="47" t="inlineStr">
        <is>
          <t>Solo segno 1X2 corretto</t>
        </is>
      </c>
      <c r="D7" s="96" t="n">
        <v>1</v>
      </c>
    </row>
    <row r="8">
      <c r="A8" s="98" t="inlineStr">
        <is>
          <t>Lenzuolo</t>
        </is>
      </c>
      <c r="C8" s="43" t="inlineStr">
        <is>
          <t>Sbagliato o pronostico mancante</t>
        </is>
      </c>
      <c r="D8" s="96" t="n">
        <v>0</v>
      </c>
    </row>
    <row r="9">
      <c r="A9" s="99" t="inlineStr">
        <is>
          <t>Just Lele</t>
        </is>
      </c>
      <c r="C9" s="35" t="inlineStr">
        <is>
          <t>Il risultato esatto non si somma al segno. Non c'e' nient'altro: i punti non si moltiplicano mai.</t>
        </is>
      </c>
    </row>
    <row r="10">
      <c r="A10" s="100" t="inlineStr">
        <is>
          <t>Lippi</t>
        </is>
      </c>
    </row>
    <row r="13">
      <c r="C13" s="36" t="inlineStr">
        <is>
          <t>PARAMETRI</t>
        </is>
      </c>
    </row>
    <row r="14">
      <c r="C14" s="43" t="inlineStr">
        <is>
          <t>Stagione</t>
        </is>
      </c>
      <c r="D14" s="71" t="inlineStr">
        <is>
          <t>Serie A 2026/27</t>
        </is>
      </c>
    </row>
    <row r="15">
      <c r="C15" s="47" t="inlineStr">
        <is>
          <t>Prima giornata in gioco</t>
        </is>
      </c>
      <c r="D15" s="71" t="n">
        <v>2</v>
      </c>
    </row>
    <row r="16">
      <c r="C16" s="43" t="inlineStr">
        <is>
          <t>Partite per giornata</t>
        </is>
      </c>
      <c r="D16" s="71" t="n">
        <v>10</v>
      </c>
    </row>
    <row r="20">
      <c r="A20" s="36" t="inlineStr">
        <is>
          <t>REGOLE DI GIOCO</t>
        </is>
      </c>
    </row>
    <row r="21" ht="17" customHeight="1">
      <c r="A21" s="101" t="inlineStr">
        <is>
          <t>1.  Pronostici entro il primo fischio della giornata: dopo non valgono piu'.</t>
        </is>
      </c>
    </row>
    <row r="22" ht="17" customHeight="1">
      <c r="A22" s="102" t="inlineStr">
        <is>
          <t>2.  Chi non manda i pronostici prende 0 su quella giornata, che conta comunque.</t>
        </is>
      </c>
    </row>
    <row r="23" ht="17" customHeight="1">
      <c r="A23" s="101" t="inlineStr">
        <is>
          <t>3.  Si puo' dare solo il segno 1/X/2: vale 1 punto se corretto, senza bonus risultato.</t>
        </is>
      </c>
    </row>
    <row r="24" ht="17" customHeight="1">
      <c r="A24" s="102" t="inlineStr">
        <is>
          <t>4.  Parita' in classifica generale: passa avanti chi ha piu' risultati esatti.</t>
        </is>
      </c>
    </row>
    <row r="25" ht="17" customHeight="1">
      <c r="A25" s="101" t="inlineStr">
        <is>
          <t>5.  Re della giornata = chi fa piu' punti in quella giornata (solo giornate complete).</t>
        </is>
      </c>
    </row>
    <row r="28">
      <c r="A28" s="36" t="inlineStr">
        <is>
          <t>COSA SI COMPILA A MANO</t>
        </is>
      </c>
    </row>
    <row r="29">
      <c r="A29" s="70" t="inlineStr">
        <is>
          <t>Le celle gialle</t>
        </is>
      </c>
      <c r="C29" s="43" t="inlineStr">
        <is>
          <t>sono le uniche da toccare. Tutto il resto e' formula.</t>
        </is>
      </c>
      <c r="D29" s="103" t="n"/>
    </row>
    <row r="30">
      <c r="A30" s="75" t="inlineStr">
        <is>
          <t>Foglio Partite</t>
        </is>
      </c>
      <c r="C30" s="47" t="inlineStr">
        <is>
          <t>Gol Casa e Gol Ospite: il risultato vero della partita.</t>
        </is>
      </c>
      <c r="D30" s="103" t="n"/>
    </row>
    <row r="31">
      <c r="A31" s="70" t="inlineStr">
        <is>
          <t>Foglio Pronostici</t>
        </is>
      </c>
      <c r="C31" s="43" t="inlineStr">
        <is>
          <t>per ogni giocatore: Segno, Gol C, Gol O.</t>
        </is>
      </c>
      <c r="D31" s="103" t="n"/>
    </row>
    <row r="32">
      <c r="A32" s="75" t="inlineStr">
        <is>
          <t>Segno o punteggio?</t>
        </is>
      </c>
      <c r="C32" s="47" t="inlineStr">
        <is>
          <t>basta uno dei due: se metti i gol, il segno lo deduce da solo.</t>
        </is>
      </c>
      <c r="D32" s="103" t="n"/>
    </row>
    <row r="33">
      <c r="A33" s="70" t="inlineStr">
        <is>
          <t>Classifica e Punti</t>
        </is>
      </c>
      <c r="C33" s="43" t="inlineStr">
        <is>
          <t>si aggiornano da soli, non scriverci dentro.</t>
        </is>
      </c>
      <c r="D33" s="103" t="n"/>
    </row>
    <row r="36">
      <c r="A36" s="36" t="inlineStr">
        <is>
          <t>ESEMPIO - Milan-Venezia finisce 2-1</t>
        </is>
      </c>
    </row>
    <row r="37">
      <c r="A37" s="38" t="inlineStr">
        <is>
          <t>Giocatore</t>
        </is>
      </c>
      <c r="B37" s="38" t="inlineStr">
        <is>
          <t>Segno</t>
        </is>
      </c>
      <c r="C37" s="38" t="inlineStr">
        <is>
          <t>Gol C</t>
        </is>
      </c>
      <c r="D37" s="38" t="inlineStr">
        <is>
          <t>Gol O</t>
        </is>
      </c>
      <c r="E37" s="38" t="inlineStr">
        <is>
          <t>Punti</t>
        </is>
      </c>
      <c r="F37" s="38" t="inlineStr">
        <is>
          <t>Perche'</t>
        </is>
      </c>
    </row>
    <row r="38">
      <c r="A38" s="44" t="inlineStr">
        <is>
          <t>Berta</t>
        </is>
      </c>
      <c r="B38" s="104" t="inlineStr">
        <is>
          <t>1</t>
        </is>
      </c>
      <c r="C38" s="104" t="n">
        <v>2</v>
      </c>
      <c r="D38" s="104" t="n">
        <v>1</v>
      </c>
      <c r="E38" s="105" t="n">
        <v>3</v>
      </c>
      <c r="F38" s="106" t="inlineStr">
        <is>
          <t>risultato esatto: sul sito la casella e' argento</t>
        </is>
      </c>
    </row>
    <row r="39">
      <c r="A39" s="48" t="inlineStr">
        <is>
          <t>Super Gulp</t>
        </is>
      </c>
      <c r="B39" s="104" t="inlineStr">
        <is>
          <t>1</t>
        </is>
      </c>
      <c r="C39" s="104" t="n">
        <v>3</v>
      </c>
      <c r="D39" s="104" t="n">
        <v>0</v>
      </c>
      <c r="E39" s="107" t="n">
        <v>1</v>
      </c>
      <c r="F39" s="106" t="inlineStr">
        <is>
          <t>solo il segno: casella bronzo</t>
        </is>
      </c>
    </row>
    <row r="40">
      <c r="A40" s="49" t="inlineStr">
        <is>
          <t>Lenzuolo</t>
        </is>
      </c>
      <c r="B40" s="104" t="inlineStr">
        <is>
          <t>1</t>
        </is>
      </c>
      <c r="C40" s="104" t="n"/>
      <c r="D40" s="104" t="n"/>
      <c r="E40" s="107" t="n">
        <v>1</v>
      </c>
      <c r="F40" s="106" t="inlineStr">
        <is>
          <t>solo il segno, senza punteggio: bronzo anche lui</t>
        </is>
      </c>
    </row>
    <row r="41">
      <c r="A41" s="50" t="inlineStr">
        <is>
          <t>Just Lele</t>
        </is>
      </c>
      <c r="B41" s="104" t="inlineStr">
        <is>
          <t>X</t>
        </is>
      </c>
      <c r="C41" s="104" t="n">
        <v>1</v>
      </c>
      <c r="D41" s="104" t="n">
        <v>1</v>
      </c>
      <c r="E41" s="72" t="n">
        <v>0</v>
      </c>
      <c r="F41" s="106" t="inlineStr">
        <is>
          <t>segno sbagliato</t>
        </is>
      </c>
    </row>
    <row r="42">
      <c r="A42" s="51" t="inlineStr">
        <is>
          <t>Lippi</t>
        </is>
      </c>
      <c r="B42" s="104" t="n"/>
      <c r="C42" s="104" t="n"/>
      <c r="D42" s="104" t="n"/>
      <c r="E42" s="72" t="n">
        <v>0</v>
      </c>
      <c r="F42" s="106" t="inlineStr">
        <is>
          <t>non ha mandato nulla</t>
        </is>
      </c>
    </row>
    <row r="43">
      <c r="A43" s="35" t="inlineStr">
        <is>
          <t>I colori delle caselle sul sito non cambiano i punti. Qui Berta e' argento e non oro perche' altri due erano sull'1: l'oro va a chi prende il risultato esatto quando nessun altro aveva nemmeno azzeccato il segno.</t>
        </is>
      </c>
    </row>
    <row r="45">
      <c r="A45" s="35" t="inlineStr">
        <is>
          <t>Il file si allunga da solo: quando esce il calendario di una nuova giornata viene aggiunto in Partite e le righe di Pronostici e Punti compaiono con lui.</t>
        </is>
      </c>
    </row>
    <row r="46">
      <c r="A46" s="35" t="inlineStr">
        <is>
          <t>Calendario e risultati: football-data.org, riletti a ogni aggiornamento automatico.</t>
        </is>
      </c>
    </row>
  </sheetData>
  <mergeCells count="11">
    <mergeCell ref="A23:D23"/>
    <mergeCell ref="C29:D29"/>
    <mergeCell ref="C30:D30"/>
    <mergeCell ref="C32:D32"/>
    <mergeCell ref="A22:D22"/>
    <mergeCell ref="C33:D33"/>
    <mergeCell ref="A21:D21"/>
    <mergeCell ref="A1:F2"/>
    <mergeCell ref="A25:D25"/>
    <mergeCell ref="A24:D24"/>
    <mergeCell ref="C31:D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2026-10-25T08:09:43Z</dcterms:created>
  <dcterms:modified xsi:type="dcterms:W3CDTF">2026-10-25T08:09:44Z</dcterms:modified>
</cp:coreProperties>
</file>