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'Partite'!$A$2:$K$92</definedName>
    <definedName name="_xlnm._FilterDatabase" localSheetId="2" hidden="1">'Pronostici'!$A$2:$D$92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'Classifica'!$A$33:$A$41</f>
            </numRef>
          </cat>
          <val>
            <numRef>
              <f>'Classifica'!$R$33:$R$41</f>
            </numRef>
          </val>
          <smooth val="0"/>
        </ser>
        <ser>
          <idx val="1"/>
          <order val="1"/>
          <tx>
            <strRef>
              <f>'Classifica'!S32</f>
            </strRef>
          </tx>
          <spPr>
            <a:ln w="22000">
              <a:solidFill>
                <a:srgbClr val="3E8E5A"/>
              </a:solidFill>
              <a:prstDash val="solid"/>
            </a:ln>
          </spPr>
          <marker>
            <symbol val="circle"/>
            <size val="6"/>
            <spPr>
              <a:ln>
                <a:prstDash val="solid"/>
              </a:ln>
            </spPr>
          </marker>
          <cat>
            <numRef>
              <f>'Classifica'!$A$33:$A$41</f>
            </numRef>
          </cat>
          <val>
            <numRef>
              <f>'Classifica'!$S$33:$S$41</f>
            </numRef>
          </val>
          <smooth val="0"/>
        </ser>
        <ser>
          <idx val="2"/>
          <order val="2"/>
          <tx>
            <strRef>
              <f>'Classifica'!T32</f>
            </strRef>
          </tx>
          <spPr>
            <a:ln w="22000">
              <a:solidFill>
                <a:srgbClr val="C2622F"/>
              </a:solidFill>
              <a:prstDash val="solid"/>
            </a:ln>
          </spPr>
          <marker>
            <symbol val="circle"/>
            <size val="6"/>
            <spPr>
              <a:ln>
                <a:prstDash val="solid"/>
              </a:ln>
            </spPr>
          </marker>
          <cat>
            <numRef>
              <f>'Classifica'!$A$33:$A$41</f>
            </numRef>
          </cat>
          <val>
            <numRef>
              <f>'Classifica'!$T$33:$T$41</f>
            </numRef>
          </val>
          <smooth val="0"/>
        </ser>
        <ser>
          <idx val="3"/>
          <order val="3"/>
          <tx>
            <strRef>
              <f>'Classifica'!U32</f>
            </strRef>
          </tx>
          <spPr>
            <a:ln w="22000">
              <a:solidFill>
                <a:srgbClr val="6A56A8"/>
              </a:solidFill>
              <a:prstDash val="solid"/>
            </a:ln>
          </spPr>
          <marker>
            <symbol val="circle"/>
            <size val="6"/>
            <spPr>
              <a:ln>
                <a:prstDash val="solid"/>
              </a:ln>
            </spPr>
          </marker>
          <cat>
            <numRef>
              <f>'Classifica'!$A$33:$A$41</f>
            </numRef>
          </cat>
          <val>
            <numRef>
              <f>'Classifica'!$U$33:$U$41</f>
            </numRef>
          </val>
          <smooth val="0"/>
        </ser>
        <ser>
          <idx val="4"/>
          <order val="4"/>
          <tx>
            <strRef>
              <f>'Classifica'!V32</f>
            </strRef>
          </tx>
          <spPr>
            <a:ln w="22000">
              <a:solidFill>
                <a:srgbClr val="B08A1E"/>
              </a:solidFill>
              <a:prstDash val="solid"/>
            </a:ln>
          </spPr>
          <marker>
            <symbol val="circle"/>
            <size val="6"/>
            <spPr>
              <a:ln>
                <a:prstDash val="solid"/>
              </a:ln>
            </spPr>
          </marker>
          <cat>
            <numRef>
              <f>'Classifica'!$A$33:$A$41</f>
            </numRef>
          </cat>
          <val>
            <numRef>
              <f>'Classifica'!$V$33:$V$41</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1"/>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COUNTIF($B$33:$B$41,"Completata")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COUNTIF($B$33:$B$41,"Completata")+COUNTIF($B$33:$B$41,"In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IF($L$5=0,"-",SUMPRODUCT(MAX(($B$33:$B$41="Completata")*$A$33:$A$41)))</f>
        <v/>
      </c>
    </row>
    <row r="8">
      <c r="K8" s="12" t="inlineStr">
        <is>
          <t>Prossima da giocare</t>
        </is>
      </c>
      <c r="L8" s="13">
        <f>IF(SUMPRODUCT(MIN(($B$33:$B$41&lt;&gt;"Completata")*$A$33:$A$41+($B$33:$B$41="Completata")*999))&gt;=999,"-",SUMPRODUCT(MIN(($B$33:$B$41&lt;&gt;"Completata")*$A$33:$A$41+($B$33:$B$41="Completata")*999)))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SUM(Punti!$D$3:$D$92)</f>
        <v/>
      </c>
      <c r="D12" s="25">
        <f>COUNTIF(Punti!$D$3:$D$92,Config!$D$7)+COUNTIF(Punti!$D$3:$D$92,Config!$D$6)</f>
        <v/>
      </c>
      <c r="E12" s="25">
        <f>COUNTIF(Punti!$D$3:$D$92,Config!$D$6)</f>
        <v/>
      </c>
      <c r="F12" s="25">
        <f>SUMPRODUCT(((Pronostici!$E$3:$E$92&lt;&gt;"")+(Pronostici!$F$3:$F$92&lt;&gt;""))*1&gt;0)</f>
        <v/>
      </c>
      <c r="G12" s="26">
        <f>IF($L$6=0,0,$C12/$L$6)</f>
        <v/>
      </c>
      <c r="H12" s="25">
        <f>SUMPRODUCT(($C$33:$C$41=$H$33:$H$41)*($H$33:$H$41&gt;0)*($B$33:$B$41="Completata"))</f>
        <v/>
      </c>
    </row>
    <row r="13" ht="20" customHeight="1">
      <c r="A13" s="27">
        <f>SUMPRODUCT((($C$12:$C$16*1000+$E$12:$E$16)&gt;($C13*1000+$E13))*1)+1</f>
        <v/>
      </c>
      <c r="B13" s="28">
        <f>Config!$A$7</f>
        <v/>
      </c>
      <c r="C13" s="29">
        <f>SUM(Punti!$E$3:$E$92)</f>
        <v/>
      </c>
      <c r="D13" s="30">
        <f>COUNTIF(Punti!$E$3:$E$92,Config!$D$7)+COUNTIF(Punti!$E$3:$E$92,Config!$D$6)</f>
        <v/>
      </c>
      <c r="E13" s="30">
        <f>COUNTIF(Punti!$E$3:$E$92,Config!$D$6)</f>
        <v/>
      </c>
      <c r="F13" s="30">
        <f>SUMPRODUCT(((Pronostici!$H$3:$H$92&lt;&gt;"")+(Pronostici!$I$3:$I$92&lt;&gt;""))*1&gt;0)</f>
        <v/>
      </c>
      <c r="G13" s="31">
        <f>IF($L$6=0,0,$C13/$L$6)</f>
        <v/>
      </c>
      <c r="H13" s="30">
        <f>SUMPRODUCT(($D$33:$D$41=$H$33:$H$41)*($H$33:$H$41&gt;0)*($B$33:$B$41="Completata"))</f>
        <v/>
      </c>
    </row>
    <row r="14" ht="20" customHeight="1">
      <c r="A14" s="22">
        <f>SUMPRODUCT((($C$12:$C$16*1000+$E$12:$E$16)&gt;($C14*1000+$E14))*1)+1</f>
        <v/>
      </c>
      <c r="B14" s="32">
        <f>Config!$A$8</f>
        <v/>
      </c>
      <c r="C14" s="24">
        <f>SUM(Punti!$F$3:$F$92)</f>
        <v/>
      </c>
      <c r="D14" s="25">
        <f>COUNTIF(Punti!$F$3:$F$92,Config!$D$7)+COUNTIF(Punti!$F$3:$F$92,Config!$D$6)</f>
        <v/>
      </c>
      <c r="E14" s="25">
        <f>COUNTIF(Punti!$F$3:$F$92,Config!$D$6)</f>
        <v/>
      </c>
      <c r="F14" s="25">
        <f>SUMPRODUCT(((Pronostici!$K$3:$K$92&lt;&gt;"")+(Pronostici!$L$3:$L$92&lt;&gt;""))*1&gt;0)</f>
        <v/>
      </c>
      <c r="G14" s="26">
        <f>IF($L$6=0,0,$C14/$L$6)</f>
        <v/>
      </c>
      <c r="H14" s="25">
        <f>SUMPRODUCT(($E$33:$E$41=$H$33:$H$41)*($H$33:$H$41&gt;0)*($B$33:$B$41="Completata"))</f>
        <v/>
      </c>
    </row>
    <row r="15" ht="20" customHeight="1">
      <c r="A15" s="27">
        <f>SUMPRODUCT((($C$12:$C$16*1000+$E$12:$E$16)&gt;($C15*1000+$E15))*1)+1</f>
        <v/>
      </c>
      <c r="B15" s="33">
        <f>Config!$A$9</f>
        <v/>
      </c>
      <c r="C15" s="29">
        <f>SUM(Punti!$G$3:$G$92)</f>
        <v/>
      </c>
      <c r="D15" s="30">
        <f>COUNTIF(Punti!$G$3:$G$92,Config!$D$7)+COUNTIF(Punti!$G$3:$G$92,Config!$D$6)</f>
        <v/>
      </c>
      <c r="E15" s="30">
        <f>COUNTIF(Punti!$G$3:$G$92,Config!$D$6)</f>
        <v/>
      </c>
      <c r="F15" s="30">
        <f>SUMPRODUCT(((Pronostici!$N$3:$N$92&lt;&gt;"")+(Pronostici!$O$3:$O$92&lt;&gt;""))*1&gt;0)</f>
        <v/>
      </c>
      <c r="G15" s="31">
        <f>IF($L$6=0,0,$C15/$L$6)</f>
        <v/>
      </c>
      <c r="H15" s="30">
        <f>SUMPRODUCT(($F$33:$F$41=$H$33:$H$41)*($H$33:$H$41&gt;0)*($B$33:$B$41="Completata"))</f>
        <v/>
      </c>
    </row>
    <row r="16" ht="20" customHeight="1">
      <c r="A16" s="22">
        <f>SUMPRODUCT((($C$12:$C$16*1000+$E$12:$E$16)&gt;($C16*1000+$E16))*1)+1</f>
        <v/>
      </c>
      <c r="B16" s="34">
        <f>Config!$A$10</f>
        <v/>
      </c>
      <c r="C16" s="24">
        <f>SUM(Punti!$H$3:$H$92)</f>
        <v/>
      </c>
      <c r="D16" s="25">
        <f>COUNTIF(Punti!$H$3:$H$92,Config!$D$7)+COUNTIF(Punti!$H$3:$H$92,Config!$D$6)</f>
        <v/>
      </c>
      <c r="E16" s="25">
        <f>COUNTIF(Punti!$H$3:$H$92,Config!$D$6)</f>
        <v/>
      </c>
      <c r="F16" s="25">
        <f>SUMPRODUCT(((Pronostici!$Q$3:$Q$92&lt;&gt;"")+(Pronostici!$R$3:$R$92&lt;&gt;""))*1&gt;0)</f>
        <v/>
      </c>
      <c r="G16" s="26">
        <f>IF($L$6=0,0,$C16/$L$6)</f>
        <v/>
      </c>
      <c r="H16" s="25">
        <f>SUMPRODUCT(($G$33:$G$41=$H$33:$H$41)*($H$33:$H$41&gt;0)*($B$33:$B$41="Completata"))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IF($L$7="-","-",IFERROR(INDEX($C$33:$C$41,MATCH($L$7,$A$33:$A$41,0)),"-"))</f>
        <v/>
      </c>
      <c r="D20" s="40">
        <f>IF($L$7="-","",IF(IFERROR(INDEX($C$33:$C$41,MATCH($L$7,$A$33:$A$41,0)),0)=IFERROR(INDEX($H$33:$H$41,MATCH($L$7,$A$33:$A$41,0)),-1),"RE DELLA GIORNATA",""))</f>
        <v/>
      </c>
      <c r="E20" s="41" t="n"/>
      <c r="K20" s="42">
        <f>IFERROR(INDEX(Partite!$E$3:$E$92,MATCH("G"&amp;TEXT($L$8,"00")&amp;"-"&amp;TEXT(1,"00"),Partite!$A$3:$A$92,0))&amp;"   -   "&amp;INDEX(Partite!$F$3:$F$92,MATCH("G"&amp;TEXT($L$8,"00")&amp;"-"&amp;TEXT(1,"00"),Partite!$A$3:$A$92,0)),"-")</f>
        <v/>
      </c>
      <c r="L20" s="43" t="n"/>
      <c r="M20" s="43" t="n"/>
      <c r="N20" s="44">
        <f>Config!$A$6</f>
        <v/>
      </c>
      <c r="O20" s="45">
        <f>IF($L$8="-","-",SUMPRODUCT((Pronostici!$B$3:$B$92=$L$8)*(((Pronostici!$E$3:$E$92&lt;&gt;"")+(Pronostici!$F$3:$F$92&lt;&gt;""))&gt;0))&amp;"/10")</f>
        <v/>
      </c>
    </row>
    <row r="21">
      <c r="B21" s="28">
        <f>Config!$A$7</f>
        <v/>
      </c>
      <c r="C21" s="24">
        <f>IF($L$7="-","-",IFERROR(INDEX($D$33:$D$41,MATCH($L$7,$A$33:$A$41,0)),"-"))</f>
        <v/>
      </c>
      <c r="D21" s="40">
        <f>IF($L$7="-","",IF(IFERROR(INDEX($D$33:$D$41,MATCH($L$7,$A$33:$A$41,0)),0)=IFERROR(INDEX($H$33:$H$41,MATCH($L$7,$A$33:$A$41,0)),-1),"RE DELLA GIORNATA",""))</f>
        <v/>
      </c>
      <c r="E21" s="41" t="n"/>
      <c r="K21" s="46">
        <f>IFERROR(INDEX(Partite!$E$3:$E$92,MATCH("G"&amp;TEXT($L$8,"00")&amp;"-"&amp;TEXT(2,"00"),Partite!$A$3:$A$92,0))&amp;"   -   "&amp;INDEX(Partite!$F$3:$F$92,MATCH("G"&amp;TEXT($L$8,"00")&amp;"-"&amp;TEXT(2,"00"),Partite!$A$3:$A$92,0)),"-")</f>
        <v/>
      </c>
      <c r="L21" s="47" t="n"/>
      <c r="M21" s="47" t="n"/>
      <c r="N21" s="48">
        <f>Config!$A$7</f>
        <v/>
      </c>
      <c r="O21" s="45">
        <f>IF($L$8="-","-",SUMPRODUCT((Pronostici!$B$3:$B$92=$L$8)*(((Pronostici!$H$3:$H$92&lt;&gt;"")+(Pronostici!$I$3:$I$92&lt;&gt;""))&gt;0))&amp;"/10")</f>
        <v/>
      </c>
    </row>
    <row r="22">
      <c r="B22" s="32">
        <f>Config!$A$8</f>
        <v/>
      </c>
      <c r="C22" s="24">
        <f>IF($L$7="-","-",IFERROR(INDEX($E$33:$E$41,MATCH($L$7,$A$33:$A$41,0)),"-"))</f>
        <v/>
      </c>
      <c r="D22" s="40">
        <f>IF($L$7="-","",IF(IFERROR(INDEX($E$33:$E$41,MATCH($L$7,$A$33:$A$41,0)),0)=IFERROR(INDEX($H$33:$H$41,MATCH($L$7,$A$33:$A$41,0)),-1),"RE DELLA GIORNATA",""))</f>
        <v/>
      </c>
      <c r="E22" s="41" t="n"/>
      <c r="K22" s="42">
        <f>IFERROR(INDEX(Partite!$E$3:$E$92,MATCH("G"&amp;TEXT($L$8,"00")&amp;"-"&amp;TEXT(3,"00"),Partite!$A$3:$A$92,0))&amp;"   -   "&amp;INDEX(Partite!$F$3:$F$92,MATCH("G"&amp;TEXT($L$8,"00")&amp;"-"&amp;TEXT(3,"00"),Partite!$A$3:$A$92,0)),"-")</f>
        <v/>
      </c>
      <c r="L22" s="43" t="n"/>
      <c r="M22" s="43" t="n"/>
      <c r="N22" s="49">
        <f>Config!$A$8</f>
        <v/>
      </c>
      <c r="O22" s="45">
        <f>IF($L$8="-","-",SUMPRODUCT((Pronostici!$B$3:$B$92=$L$8)*(((Pronostici!$K$3:$K$92&lt;&gt;"")+(Pronostici!$L$3:$L$92&lt;&gt;""))&gt;0))&amp;"/10")</f>
        <v/>
      </c>
    </row>
    <row r="23">
      <c r="B23" s="33">
        <f>Config!$A$9</f>
        <v/>
      </c>
      <c r="C23" s="24">
        <f>IF($L$7="-","-",IFERROR(INDEX($F$33:$F$41,MATCH($L$7,$A$33:$A$41,0)),"-"))</f>
        <v/>
      </c>
      <c r="D23" s="40">
        <f>IF($L$7="-","",IF(IFERROR(INDEX($F$33:$F$41,MATCH($L$7,$A$33:$A$41,0)),0)=IFERROR(INDEX($H$33:$H$41,MATCH($L$7,$A$33:$A$41,0)),-1),"RE DELLA GIORNATA",""))</f>
        <v/>
      </c>
      <c r="E23" s="41" t="n"/>
      <c r="K23" s="46">
        <f>IFERROR(INDEX(Partite!$E$3:$E$92,MATCH("G"&amp;TEXT($L$8,"00")&amp;"-"&amp;TEXT(4,"00"),Partite!$A$3:$A$92,0))&amp;"   -   "&amp;INDEX(Partite!$F$3:$F$92,MATCH("G"&amp;TEXT($L$8,"00")&amp;"-"&amp;TEXT(4,"00"),Partite!$A$3:$A$92,0)),"-")</f>
        <v/>
      </c>
      <c r="L23" s="47" t="n"/>
      <c r="M23" s="47" t="n"/>
      <c r="N23" s="50">
        <f>Config!$A$9</f>
        <v/>
      </c>
      <c r="O23" s="45">
        <f>IF($L$8="-","-",SUMPRODUCT((Pronostici!$B$3:$B$92=$L$8)*(((Pronostici!$N$3:$N$92&lt;&gt;"")+(Pronostici!$O$3:$O$92&lt;&gt;""))&gt;0))&amp;"/10")</f>
        <v/>
      </c>
    </row>
    <row r="24">
      <c r="B24" s="34">
        <f>Config!$A$10</f>
        <v/>
      </c>
      <c r="C24" s="24">
        <f>IF($L$7="-","-",IFERROR(INDEX($G$33:$G$41,MATCH($L$7,$A$33:$A$41,0)),"-"))</f>
        <v/>
      </c>
      <c r="D24" s="40">
        <f>IF($L$7="-","",IF(IFERROR(INDEX($G$33:$G$41,MATCH($L$7,$A$33:$A$41,0)),0)=IFERROR(INDEX($H$33:$H$41,MATCH($L$7,$A$33:$A$41,0)),-1),"RE DELLA GIORNATA",""))</f>
        <v/>
      </c>
      <c r="E24" s="41" t="n"/>
      <c r="K24" s="42">
        <f>IFERROR(INDEX(Partite!$E$3:$E$92,MATCH("G"&amp;TEXT($L$8,"00")&amp;"-"&amp;TEXT(5,"00"),Partite!$A$3:$A$92,0))&amp;"   -   "&amp;INDEX(Partite!$F$3:$F$92,MATCH("G"&amp;TEXT($L$8,"00")&amp;"-"&amp;TEXT(5,"00"),Partite!$A$3:$A$92,0)),"-")</f>
        <v/>
      </c>
      <c r="L24" s="43" t="n"/>
      <c r="M24" s="43" t="n"/>
      <c r="N24" s="51">
        <f>Config!$A$10</f>
        <v/>
      </c>
      <c r="O24" s="45">
        <f>IF($L$8="-","-",SUMPRODUCT((Pronostici!$B$3:$B$92=$L$8)*(((Pronostici!$Q$3:$Q$92&lt;&gt;"")+(Pronostici!$R$3:$R$92&lt;&gt;""))&gt;0))&amp;"/10")</f>
        <v/>
      </c>
    </row>
    <row r="25">
      <c r="K25" s="46">
        <f>IFERROR(INDEX(Partite!$E$3:$E$92,MATCH("G"&amp;TEXT($L$8,"00")&amp;"-"&amp;TEXT(6,"00"),Partite!$A$3:$A$92,0))&amp;"   -   "&amp;INDEX(Partite!$F$3:$F$92,MATCH("G"&amp;TEXT($L$8,"00")&amp;"-"&amp;TEXT(6,"00"),Partite!$A$3:$A$92,0)),"-")</f>
        <v/>
      </c>
      <c r="L25" s="47" t="n"/>
      <c r="M25" s="47" t="n"/>
      <c r="N25" s="35" t="inlineStr">
        <is>
          <t>chi e' sotto 10 non ha finito</t>
        </is>
      </c>
    </row>
    <row r="26">
      <c r="K26" s="42">
        <f>IFERROR(INDEX(Partite!$E$3:$E$92,MATCH("G"&amp;TEXT($L$8,"00")&amp;"-"&amp;TEXT(7,"00"),Partite!$A$3:$A$92,0))&amp;"   -   "&amp;INDEX(Partite!$F$3:$F$92,MATCH("G"&amp;TEXT($L$8,"00")&amp;"-"&amp;TEXT(7,"00"),Partite!$A$3:$A$92,0)),"-")</f>
        <v/>
      </c>
      <c r="L26" s="43" t="n"/>
      <c r="M26" s="43" t="n"/>
    </row>
    <row r="27">
      <c r="K27" s="46">
        <f>IFERROR(INDEX(Partite!$E$3:$E$92,MATCH("G"&amp;TEXT($L$8,"00")&amp;"-"&amp;TEXT(8,"00"),Partite!$A$3:$A$92,0))&amp;"   -   "&amp;INDEX(Partite!$F$3:$F$92,MATCH("G"&amp;TEXT($L$8,"00")&amp;"-"&amp;TEXT(8,"00"),Partite!$A$3:$A$92,0)),"-")</f>
        <v/>
      </c>
      <c r="L27" s="47" t="n"/>
      <c r="M27" s="47" t="n"/>
    </row>
    <row r="28">
      <c r="K28" s="42">
        <f>IFERROR(INDEX(Partite!$E$3:$E$92,MATCH("G"&amp;TEXT($L$8,"00")&amp;"-"&amp;TEXT(9,"00"),Partite!$A$3:$A$92,0))&amp;"   -   "&amp;INDEX(Partite!$F$3:$F$92,MATCH("G"&amp;TEXT($L$8,"00")&amp;"-"&amp;TEXT(9,"00"),Partite!$A$3:$A$92,0)),"-")</f>
        <v/>
      </c>
      <c r="L28" s="43" t="n"/>
      <c r="M28" s="43" t="n"/>
    </row>
    <row r="29">
      <c r="K29" s="46">
        <f>IFERROR(INDEX(Partite!$E$3:$E$92,MATCH("G"&amp;TEXT($L$8,"00")&amp;"-"&amp;TEXT(10,"00"),Partite!$A$3:$A$92,0))&amp;"   -   "&amp;INDEX(Partite!$F$3:$F$92,MATCH("G"&amp;TEXT($L$8,"00")&amp;"-"&amp;TEXT(10,"00"),Partite!$A$3:$A$92,0)),"-")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IF(COUNTIFS(Partite!$B$3:$B$92,$A33,Partite!$E$3:$E$92,"&lt;&gt;")=0,"Calendario mancante",IF(COUNTIFS(Partite!$B$3:$B$92,$A33,Partite!$K$3:$K$92,"Giocata")=0,"Non giocata",IF(COUNTIFS(Partite!$B$3:$B$92,$A33,Partite!$K$3:$K$92,"Giocata")=COUNTIFS(Partite!$B$3:$B$92,$A33,Partite!$E$3:$E$92,"&lt;&gt;"),"Completata","In corso")))</f>
        <v/>
      </c>
      <c r="C33" s="25">
        <f>SUMIF(Punti!$B$3:$B$92,$A33,Punti!$D$3:$D$92)</f>
        <v/>
      </c>
      <c r="D33" s="25">
        <f>SUMIF(Punti!$B$3:$B$92,$A33,Punti!$E$3:$E$92)</f>
        <v/>
      </c>
      <c r="E33" s="25">
        <f>SUMIF(Punti!$B$3:$B$92,$A33,Punti!$F$3:$F$92)</f>
        <v/>
      </c>
      <c r="F33" s="25">
        <f>SUMIF(Punti!$B$3:$B$92,$A33,Punti!$G$3:$G$92)</f>
        <v/>
      </c>
      <c r="G33" s="25">
        <f>SUMIF(Punti!$B$3:$B$92,$A33,Punti!$H$3:$H$92)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IF(COUNTIFS(Partite!$B$3:$B$92,$A34,Partite!$E$3:$E$92,"&lt;&gt;")=0,"Calendario mancante",IF(COUNTIFS(Partite!$B$3:$B$92,$A34,Partite!$K$3:$K$92,"Giocata")=0,"Non giocata",IF(COUNTIFS(Partite!$B$3:$B$92,$A34,Partite!$K$3:$K$92,"Giocata")=COUNTIFS(Partite!$B$3:$B$92,$A34,Partite!$E$3:$E$92,"&lt;&gt;"),"Completata","In corso")))</f>
        <v/>
      </c>
      <c r="C34" s="30">
        <f>SUMIF(Punti!$B$3:$B$92,$A34,Punti!$D$3:$D$92)</f>
        <v/>
      </c>
      <c r="D34" s="30">
        <f>SUMIF(Punti!$B$3:$B$92,$A34,Punti!$E$3:$E$92)</f>
        <v/>
      </c>
      <c r="E34" s="30">
        <f>SUMIF(Punti!$B$3:$B$92,$A34,Punti!$F$3:$F$92)</f>
        <v/>
      </c>
      <c r="F34" s="30">
        <f>SUMIF(Punti!$B$3:$B$92,$A34,Punti!$G$3:$G$92)</f>
        <v/>
      </c>
      <c r="G34" s="30">
        <f>SUMIF(Punti!$B$3:$B$92,$A34,Punti!$H$3:$H$92)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IF(COUNTIFS(Partite!$B$3:$B$92,$A35,Partite!$E$3:$E$92,"&lt;&gt;")=0,"Calendario mancante",IF(COUNTIFS(Partite!$B$3:$B$92,$A35,Partite!$K$3:$K$92,"Giocata")=0,"Non giocata",IF(COUNTIFS(Partite!$B$3:$B$92,$A35,Partite!$K$3:$K$92,"Giocata")=COUNTIFS(Partite!$B$3:$B$92,$A35,Partite!$E$3:$E$92,"&lt;&gt;"),"Completata","In corso")))</f>
        <v/>
      </c>
      <c r="C35" s="25">
        <f>SUMIF(Punti!$B$3:$B$92,$A35,Punti!$D$3:$D$92)</f>
        <v/>
      </c>
      <c r="D35" s="25">
        <f>SUMIF(Punti!$B$3:$B$92,$A35,Punti!$E$3:$E$92)</f>
        <v/>
      </c>
      <c r="E35" s="25">
        <f>SUMIF(Punti!$B$3:$B$92,$A35,Punti!$F$3:$F$92)</f>
        <v/>
      </c>
      <c r="F35" s="25">
        <f>SUMIF(Punti!$B$3:$B$92,$A35,Punti!$G$3:$G$92)</f>
        <v/>
      </c>
      <c r="G35" s="25">
        <f>SUMIF(Punti!$B$3:$B$92,$A35,Punti!$H$3:$H$92)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IF(COUNTIFS(Partite!$B$3:$B$92,$A36,Partite!$E$3:$E$92,"&lt;&gt;")=0,"Calendario mancante",IF(COUNTIFS(Partite!$B$3:$B$92,$A36,Partite!$K$3:$K$92,"Giocata")=0,"Non giocata",IF(COUNTIFS(Partite!$B$3:$B$92,$A36,Partite!$K$3:$K$92,"Giocata")=COUNTIFS(Partite!$B$3:$B$92,$A36,Partite!$E$3:$E$92,"&lt;&gt;"),"Completata","In corso")))</f>
        <v/>
      </c>
      <c r="C36" s="30">
        <f>SUMIF(Punti!$B$3:$B$92,$A36,Punti!$D$3:$D$92)</f>
        <v/>
      </c>
      <c r="D36" s="30">
        <f>SUMIF(Punti!$B$3:$B$92,$A36,Punti!$E$3:$E$92)</f>
        <v/>
      </c>
      <c r="E36" s="30">
        <f>SUMIF(Punti!$B$3:$B$92,$A36,Punti!$F$3:$F$92)</f>
        <v/>
      </c>
      <c r="F36" s="30">
        <f>SUMIF(Punti!$B$3:$B$92,$A36,Punti!$G$3:$G$92)</f>
        <v/>
      </c>
      <c r="G36" s="30">
        <f>SUMIF(Punti!$B$3:$B$92,$A36,Punti!$H$3:$H$92)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IF(COUNTIFS(Partite!$B$3:$B$92,$A37,Partite!$E$3:$E$92,"&lt;&gt;")=0,"Calendario mancante",IF(COUNTIFS(Partite!$B$3:$B$92,$A37,Partite!$K$3:$K$92,"Giocata")=0,"Non giocata",IF(COUNTIFS(Partite!$B$3:$B$92,$A37,Partite!$K$3:$K$92,"Giocata")=COUNTIFS(Partite!$B$3:$B$92,$A37,Partite!$E$3:$E$92,"&lt;&gt;"),"Completata","In corso")))</f>
        <v/>
      </c>
      <c r="C37" s="25">
        <f>SUMIF(Punti!$B$3:$B$92,$A37,Punti!$D$3:$D$92)</f>
        <v/>
      </c>
      <c r="D37" s="25">
        <f>SUMIF(Punti!$B$3:$B$92,$A37,Punti!$E$3:$E$92)</f>
        <v/>
      </c>
      <c r="E37" s="25">
        <f>SUMIF(Punti!$B$3:$B$92,$A37,Punti!$F$3:$F$92)</f>
        <v/>
      </c>
      <c r="F37" s="25">
        <f>SUMIF(Punti!$B$3:$B$92,$A37,Punti!$G$3:$G$92)</f>
        <v/>
      </c>
      <c r="G37" s="25">
        <f>SUMIF(Punti!$B$3:$B$92,$A37,Punti!$H$3:$H$92)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IF(COUNTIFS(Partite!$B$3:$B$92,$A38,Partite!$E$3:$E$92,"&lt;&gt;")=0,"Calendario mancante",IF(COUNTIFS(Partite!$B$3:$B$92,$A38,Partite!$K$3:$K$92,"Giocata")=0,"Non giocata",IF(COUNTIFS(Partite!$B$3:$B$92,$A38,Partite!$K$3:$K$92,"Giocata")=COUNTIFS(Partite!$B$3:$B$92,$A38,Partite!$E$3:$E$92,"&lt;&gt;"),"Completata","In corso")))</f>
        <v/>
      </c>
      <c r="C38" s="30">
        <f>SUMIF(Punti!$B$3:$B$92,$A38,Punti!$D$3:$D$92)</f>
        <v/>
      </c>
      <c r="D38" s="30">
        <f>SUMIF(Punti!$B$3:$B$92,$A38,Punti!$E$3:$E$92)</f>
        <v/>
      </c>
      <c r="E38" s="30">
        <f>SUMIF(Punti!$B$3:$B$92,$A38,Punti!$F$3:$F$92)</f>
        <v/>
      </c>
      <c r="F38" s="30">
        <f>SUMIF(Punti!$B$3:$B$92,$A38,Punti!$G$3:$G$92)</f>
        <v/>
      </c>
      <c r="G38" s="30">
        <f>SUMIF(Punti!$B$3:$B$92,$A38,Punti!$H$3:$H$92)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IF(COUNTIFS(Partite!$B$3:$B$92,$A39,Partite!$E$3:$E$92,"&lt;&gt;")=0,"Calendario mancante",IF(COUNTIFS(Partite!$B$3:$B$92,$A39,Partite!$K$3:$K$92,"Giocata")=0,"Non giocata",IF(COUNTIFS(Partite!$B$3:$B$92,$A39,Partite!$K$3:$K$92,"Giocata")=COUNTIFS(Partite!$B$3:$B$92,$A39,Partite!$E$3:$E$92,"&lt;&gt;"),"Completata","In corso")))</f>
        <v/>
      </c>
      <c r="C39" s="25">
        <f>SUMIF(Punti!$B$3:$B$92,$A39,Punti!$D$3:$D$92)</f>
        <v/>
      </c>
      <c r="D39" s="25">
        <f>SUMIF(Punti!$B$3:$B$92,$A39,Punti!$E$3:$E$92)</f>
        <v/>
      </c>
      <c r="E39" s="25">
        <f>SUMIF(Punti!$B$3:$B$92,$A39,Punti!$F$3:$F$92)</f>
        <v/>
      </c>
      <c r="F39" s="25">
        <f>SUMIF(Punti!$B$3:$B$92,$A39,Punti!$G$3:$G$92)</f>
        <v/>
      </c>
      <c r="G39" s="25">
        <f>SUMIF(Punti!$B$3:$B$92,$A39,Punti!$H$3:$H$92)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IF(COUNTIFS(Partite!$B$3:$B$92,$A40,Partite!$E$3:$E$92,"&lt;&gt;")=0,"Calendario mancante",IF(COUNTIFS(Partite!$B$3:$B$92,$A40,Partite!$K$3:$K$92,"Giocata")=0,"Non giocata",IF(COUNTIFS(Partite!$B$3:$B$92,$A40,Partite!$K$3:$K$92,"Giocata")=COUNTIFS(Partite!$B$3:$B$92,$A40,Partite!$E$3:$E$92,"&lt;&gt;"),"Completata","In corso")))</f>
        <v/>
      </c>
      <c r="C40" s="30">
        <f>SUMIF(Punti!$B$3:$B$92,$A40,Punti!$D$3:$D$92)</f>
        <v/>
      </c>
      <c r="D40" s="30">
        <f>SUMIF(Punti!$B$3:$B$92,$A40,Punti!$E$3:$E$92)</f>
        <v/>
      </c>
      <c r="E40" s="30">
        <f>SUMIF(Punti!$B$3:$B$92,$A40,Punti!$F$3:$F$92)</f>
        <v/>
      </c>
      <c r="F40" s="30">
        <f>SUMIF(Punti!$B$3:$B$92,$A40,Punti!$G$3:$G$92)</f>
        <v/>
      </c>
      <c r="G40" s="30">
        <f>SUMIF(Punti!$B$3:$B$92,$A40,Punti!$H$3:$H$92)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IF(COUNTIFS(Partite!$B$3:$B$92,$A41,Partite!$E$3:$E$92,"&lt;&gt;")=0,"Calendario mancante",IF(COUNTIFS(Partite!$B$3:$B$92,$A41,Partite!$K$3:$K$92,"Giocata")=0,"Non giocata",IF(COUNTIFS(Partite!$B$3:$B$92,$A41,Partite!$K$3:$K$92,"Giocata")=COUNTIFS(Partite!$B$3:$B$92,$A41,Partite!$E$3:$E$92,"&lt;&gt;"),"Completata","In corso")))</f>
        <v/>
      </c>
      <c r="C41" s="25">
        <f>SUMIF(Punti!$B$3:$B$92,$A41,Punti!$D$3:$D$92)</f>
        <v/>
      </c>
      <c r="D41" s="25">
        <f>SUMIF(Punti!$B$3:$B$92,$A41,Punti!$E$3:$E$92)</f>
        <v/>
      </c>
      <c r="E41" s="25">
        <f>SUMIF(Punti!$B$3:$B$92,$A41,Punti!$F$3:$F$92)</f>
        <v/>
      </c>
      <c r="F41" s="25">
        <f>SUMIF(Punti!$B$3:$B$92,$A41,Punti!$G$3:$G$92)</f>
        <v/>
      </c>
      <c r="G41" s="25">
        <f>SUMIF(Punti!$B$3:$B$92,$A41,Punti!$H$3:$H$92)</f>
        <v/>
      </c>
      <c r="H41" s="61">
        <f>MAX($C41:$G41)</f>
        <v/>
      </c>
      <c r="I41" s="62">
        <f>IF($H41&lt;=0,"-",INDEX($C$32:$G$32,MATCH($H41,$C41:$G41,0))&amp;IF(COUNTIF($C41:$G41,$H41)&gt;1," (a pari)","")&amp;IF($B41="Completata",""," - in corso"))</f>
        <v/>
      </c>
      <c r="R41" s="63">
        <f>R40+C41</f>
        <v/>
      </c>
      <c r="S41" s="63">
        <f>S40+D41</f>
        <v/>
      </c>
      <c r="T41" s="63">
        <f>T40+E41</f>
        <v/>
      </c>
      <c r="U41" s="63">
        <f>U40+F41</f>
        <v/>
      </c>
      <c r="V41" s="63">
        <f>V40+G41</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1">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v>4</v>
      </c>
      <c r="H74" s="71" t="n">
        <v>2</v>
      </c>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sheetData>
  <autoFilter ref="A2:K92"/>
  <mergeCells count="3">
    <mergeCell ref="G1:H1"/>
    <mergeCell ref="A1:F1"/>
    <mergeCell ref="I1:K1"/>
  </mergeCells>
  <conditionalFormatting sqref="K3:K9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9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sheetData>
  <autoFilter ref="A2:D9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9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sheetData>
  <mergeCells count="1">
    <mergeCell ref="A1:H1"/>
  </mergeCells>
  <conditionalFormatting sqref="D3:D92">
    <cfRule type="cellIs" priority="1" operator="greaterThanOrEqual" dxfId="0">
      <formula>3</formula>
    </cfRule>
    <cfRule type="cellIs" priority="2" operator="equal" dxfId="1">
      <formula>1</formula>
    </cfRule>
  </conditionalFormatting>
  <conditionalFormatting sqref="E3:E92">
    <cfRule type="cellIs" priority="3" operator="greaterThanOrEqual" dxfId="0">
      <formula>3</formula>
    </cfRule>
    <cfRule type="cellIs" priority="4" operator="equal" dxfId="1">
      <formula>1</formula>
    </cfRule>
  </conditionalFormatting>
  <conditionalFormatting sqref="F3:F92">
    <cfRule type="cellIs" priority="5" operator="greaterThanOrEqual" dxfId="0">
      <formula>3</formula>
    </cfRule>
    <cfRule type="cellIs" priority="6" operator="equal" dxfId="1">
      <formula>1</formula>
    </cfRule>
  </conditionalFormatting>
  <conditionalFormatting sqref="G3:G92">
    <cfRule type="cellIs" priority="7" operator="greaterThanOrEqual" dxfId="0">
      <formula>3</formula>
    </cfRule>
    <cfRule type="cellIs" priority="8" operator="equal" dxfId="1">
      <formula>1</formula>
    </cfRule>
  </conditionalFormatting>
  <conditionalFormatting sqref="H3:H9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2026-10-27T21:49:39Z</dcterms:created>
  <dcterms:modified xsi:type="dcterms:W3CDTF">2026-10-27T21:49:40Z</dcterms:modified>
</cp:coreProperties>
</file>